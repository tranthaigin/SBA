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56a72085e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 Score Sheet" sheetId="1" r:id="R3ad0bcc7252347f0"/>
    <x:sheet xmlns:r="http://schemas.openxmlformats.org/officeDocument/2006/relationships" name="Rubric Descriptors" sheetId="2" r:id="R9315827d43a7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9E480E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2F5597"/>
      </x:patternFill>
    </x:fill>
    <x:fill>
      <x:patternFill patternType="solid">
        <x:fgColor rgb="FFF8FAFC"/>
      </x:patternFill>
    </x:fill>
    <x:fill>
      <x:patternFill patternType="solid">
        <x:fgColor rgb="FFFFFDF5"/>
      </x:patternFill>
    </x:fill>
    <x:fill>
      <x:patternFill patternType="solid">
        <x:fgColor rgb="FFF3F7FB"/>
      </x:patternFill>
    </x:fill>
    <x:fill>
      <x:patternFill patternType="solid">
        <x:fgColor rgb="FFF2F8EE"/>
      </x:patternFill>
    </x:fill>
    <x:fill>
      <x:patternFill patternType="solid">
        <x:fgColor rgb="FFD9EAF7"/>
      </x:patternFill>
    </x:fill>
    <x:fill>
      <x:patternFill patternType="solid">
        <x:fgColor rgb="FFEEF4FB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0" fontId="0" fillId="8" borderId="0" xfId="0" applyNumberFormat="1" applyFont="1" applyFill="1" applyBorder="1"/>
    <x:xf numFmtId="0" fontId="0" fillId="8" borderId="0" xfId="0" applyNumberFormat="1" applyFont="1" applyFill="1" applyBorder="1"/>
    <x:xf numFmtId="200" fontId="0" fillId="8" borderId="1" xfId="0" applyNumberFormat="1" applyFont="1" applyFill="1" applyBorder="1"/>
    <x:xf numFmtId="0" fontId="0" fillId="8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0" fontId="0" fillId="8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20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200" fontId="0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fc1ac8f5d4813" /><Relationship Type="http://schemas.openxmlformats.org/officeDocument/2006/relationships/theme" Target="/xl/theme/theme1.xml" Id="R65dbce10a18d4e4e" /><Relationship Type="http://schemas.openxmlformats.org/officeDocument/2006/relationships/sharedStrings" Target="/xl/sharedStrings.xml" Id="Rf33a69f410514225" /><Relationship Type="http://schemas.openxmlformats.org/officeDocument/2006/relationships/worksheet" Target="/xl/worksheets/sheet1.xml" Id="R3ad0bcc7252347f0" /><Relationship Type="http://schemas.openxmlformats.org/officeDocument/2006/relationships/worksheet" Target="/xl/worksheets/sheet2.xml" Id="R9315827d43a7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RowHeight="15"/>
  <x:cols>
    <x:col min="1" max="1" width="6" hidden="0" customWidth="1"/>
    <x:col min="2" max="2" width="14" hidden="0" customWidth="1"/>
    <x:col min="3" max="3" width="28" hidden="0" customWidth="1"/>
    <x:col min="4" max="4" width="27" hidden="0" customWidth="1"/>
    <x:col min="5" max="5" width="10" hidden="0" customWidth="1"/>
    <x:col min="6" max="6" width="25" hidden="0" customWidth="1"/>
    <x:col min="7" max="7" width="10" hidden="0" customWidth="1"/>
    <x:col min="8" max="8" width="25" hidden="0" customWidth="1"/>
    <x:col min="9" max="9" width="10" hidden="0" customWidth="1"/>
    <x:col min="10" max="10" width="31" hidden="0" customWidth="1"/>
    <x:col min="11" max="11" width="10" hidden="0" customWidth="1"/>
    <x:col min="12" max="12" width="10" hidden="0" customWidth="1"/>
    <x:col min="13" max="13" width="14" hidden="0" customWidth="1"/>
    <x:col min="14" max="14" width="36" hidden="0" customWidth="1"/>
  </x:cols>
  <x:sheetData>
    <x:row r="1" ht="28" customHeight="1">
      <x:c r="A1" s="5" t="str">
        <x:v>SBA301 – ASSIGNMENTS – CLASS SCORE SHEET</x:v>
      </x:c>
    </x:row>
    <x:row r="2">
      <x:c r="A2" s="13" t="str">
        <x:v>Each student = one row. Select a rubric level in each Result column; the corresponding score and Total /10 are calculated automatically.</x:v>
      </x:c>
    </x:row>
    <x:row r="4" ht="54" customHeight="1">
      <x:c r="A4" s="22" t="str">
        <x:v>No.</x:v>
      </x:c>
      <x:c r="B4" s="22" t="str">
        <x:v>RollNumber</x:v>
      </x:c>
      <x:c r="C4" s="22" t="str">
        <x:v>StudentName</x:v>
      </x:c>
      <x:c r="D4" s="22" t="str">
        <x:v>C1 Result
Understand Problem &amp; Approach
Max 1.5</x:v>
      </x:c>
      <x:c r="E4" s="22" t="str">
        <x:v>C1 Score</x:v>
      </x:c>
      <x:c r="F4" s="22" t="str">
        <x:v>C2 Result
Personal Git &amp; Process
Max 2.0</x:v>
      </x:c>
      <x:c r="G4" s="22" t="str">
        <x:v>C2 Score</x:v>
      </x:c>
      <x:c r="H4" s="22" t="str">
        <x:v>C3 Result
Functional Implementation
Max 1.5</x:v>
      </x:c>
      <x:c r="I4" s="22" t="str">
        <x:v>C3 Score</x:v>
      </x:c>
      <x:c r="J4" s="22" t="str">
        <x:v>C4 Result
Code Understanding &amp; Adaptation
Max 5.0</x:v>
      </x:c>
      <x:c r="K4" s="22" t="str">
        <x:v>C4 Score</x:v>
      </x:c>
      <x:c r="L4" s="22" t="str">
        <x:v>Total /10</x:v>
      </x:c>
      <x:c r="M4" s="22" t="str">
        <x:v>Band</x:v>
      </x:c>
      <x:c r="N4" s="22" t="str">
        <x:v>Lecturer Note</x:v>
      </x:c>
    </x:row>
    <x:row r="5" ht="24" customHeight="1">
      <x:c r="A5" s="56" t="n">
        <x:v>1</x:v>
      </x:c>
      <x:c r="B5" s="56" t="str">
        <x:v>CE181055</x:v>
      </x:c>
      <x:c r="C5" s="56" t="str">
        <x:v>Lê Quốc Duy</x:v>
      </x:c>
      <x:c r="D5" s="57"/>
      <x:c r="E5" s="58" t="str">
        <x:f>IF(D5="","",IF(D5="Excellent | 1.50",1.5,IF(D5="Good | 1.20",1.2,IF(D5="Fair | 0.80",0.8,IF(D5="Poor | 0.30",0.3,0)))))</x:f>
      </x:c>
      <x:c r="F5" s="59"/>
      <x:c r="G5" s="58" t="str">
        <x:f>IF(F5="","",IF(F5="Excellent | 2.00",2,IF(F5="Good | 1.60",1.6,IF(F5="Fair | 1.00",1,IF(F5="Poor | 0.40",0.4,0)))))</x:f>
      </x:c>
      <x:c r="H5" s="59"/>
      <x:c r="I5" s="58" t="str">
        <x:f>IF(H5="","",IF(H5="Excellent | 1.50",1.5,IF(H5="Good | 1.20",1.2,IF(H5="Fair | 0.80",0.8,IF(H5="Poor | 0.30",0.3,0)))))</x:f>
      </x:c>
      <x:c r="J5" s="59"/>
      <x:c r="K5" s="58" t="str">
        <x:f>IF(J5="","",IF(J5="Excellent | 5.00",5,IF(J5="Good | 4.00",4,IF(J5="Fair | 2.75",2.75,IF(J5="Poor | 1.25",1.25,0)))))</x:f>
      </x:c>
      <x:c r="L5" s="60" t="str">
        <x:f>IF(COUNTA(D5,F5,H5,J5)&lt;4,"",SUM(E5,G5,I5,K5))</x:f>
      </x:c>
      <x:c r="M5" s="61" t="str">
        <x:f>IF(L5="","",IF(L5&gt;=9,"Excellent",IF(L5&gt;=7.5,"Good",IF(L5&gt;=5.5,"Satisfactory",IF(L5&gt;=4,"Basic","Poor")))))</x:f>
      </x:c>
      <x:c r="N5" s="62" t="str"/>
    </x:row>
    <x:row r="6" ht="24" customHeight="1">
      <x:c r="A6" s="56" t="n">
        <x:v>2</x:v>
      </x:c>
      <x:c r="B6" s="56" t="str">
        <x:v>CE181783</x:v>
      </x:c>
      <x:c r="C6" s="56" t="str">
        <x:v>Nguyễn Khôi Nguyên</x:v>
      </x:c>
      <x:c r="D6" s="57"/>
      <x:c r="E6" s="58" t="str">
        <x:f>IF(D6="","",IF(D6="Excellent | 1.50",1.5,IF(D6="Good | 1.20",1.2,IF(D6="Fair | 0.80",0.8,IF(D6="Poor | 0.30",0.3,0)))))</x:f>
      </x:c>
      <x:c r="F6" s="59"/>
      <x:c r="G6" s="58" t="str">
        <x:f>IF(F6="","",IF(F6="Excellent | 2.00",2,IF(F6="Good | 1.60",1.6,IF(F6="Fair | 1.00",1,IF(F6="Poor | 0.40",0.4,0)))))</x:f>
      </x:c>
      <x:c r="H6" s="59"/>
      <x:c r="I6" s="58" t="str">
        <x:f>IF(H6="","",IF(H6="Excellent | 1.50",1.5,IF(H6="Good | 1.20",1.2,IF(H6="Fair | 0.80",0.8,IF(H6="Poor | 0.30",0.3,0)))))</x:f>
      </x:c>
      <x:c r="J6" s="59"/>
      <x:c r="K6" s="58" t="str">
        <x:f>IF(J6="","",IF(J6="Excellent | 5.00",5,IF(J6="Good | 4.00",4,IF(J6="Fair | 2.75",2.75,IF(J6="Poor | 1.25",1.25,0)))))</x:f>
      </x:c>
      <x:c r="L6" s="60" t="str">
        <x:f>IF(COUNTA(D6,F6,H6,J6)&lt;4,"",SUM(E6,G6,I6,K6))</x:f>
      </x:c>
      <x:c r="M6" s="61" t="str">
        <x:f>IF(L6="","",IF(L6&gt;=9,"Excellent",IF(L6&gt;=7.5,"Good",IF(L6&gt;=5.5,"Satisfactory",IF(L6&gt;=4,"Basic","Poor")))))</x:f>
      </x:c>
      <x:c r="N6" s="62" t="str"/>
    </x:row>
    <x:row r="7" ht="24" customHeight="1">
      <x:c r="A7" s="56" t="n">
        <x:v>3</x:v>
      </x:c>
      <x:c r="B7" s="56" t="str">
        <x:v>CE192012</x:v>
      </x:c>
      <x:c r="C7" s="56" t="str">
        <x:v>Nguyễn Duy Khang</x:v>
      </x:c>
      <x:c r="D7" s="57"/>
      <x:c r="E7" s="58" t="str">
        <x:f>IF(D7="","",IF(D7="Excellent | 1.50",1.5,IF(D7="Good | 1.20",1.2,IF(D7="Fair | 0.80",0.8,IF(D7="Poor | 0.30",0.3,0)))))</x:f>
      </x:c>
      <x:c r="F7" s="59"/>
      <x:c r="G7" s="58" t="str">
        <x:f>IF(F7="","",IF(F7="Excellent | 2.00",2,IF(F7="Good | 1.60",1.6,IF(F7="Fair | 1.00",1,IF(F7="Poor | 0.40",0.4,0)))))</x:f>
      </x:c>
      <x:c r="H7" s="59"/>
      <x:c r="I7" s="58" t="str">
        <x:f>IF(H7="","",IF(H7="Excellent | 1.50",1.5,IF(H7="Good | 1.20",1.2,IF(H7="Fair | 0.80",0.8,IF(H7="Poor | 0.30",0.3,0)))))</x:f>
      </x:c>
      <x:c r="J7" s="59"/>
      <x:c r="K7" s="58" t="str">
        <x:f>IF(J7="","",IF(J7="Excellent | 5.00",5,IF(J7="Good | 4.00",4,IF(J7="Fair | 2.75",2.75,IF(J7="Poor | 1.25",1.25,0)))))</x:f>
      </x:c>
      <x:c r="L7" s="60" t="str">
        <x:f>IF(COUNTA(D7,F7,H7,J7)&lt;4,"",SUM(E7,G7,I7,K7))</x:f>
      </x:c>
      <x:c r="M7" s="61" t="str">
        <x:f>IF(L7="","",IF(L7&gt;=9,"Excellent",IF(L7&gt;=7.5,"Good",IF(L7&gt;=5.5,"Satisfactory",IF(L7&gt;=4,"Basic","Poor")))))</x:f>
      </x:c>
      <x:c r="N7" s="62" t="str"/>
    </x:row>
    <x:row r="8" ht="24" customHeight="1">
      <x:c r="A8" s="56" t="n">
        <x:v>4</x:v>
      </x:c>
      <x:c r="B8" s="56" t="str">
        <x:v>CE190169</x:v>
      </x:c>
      <x:c r="C8" s="56" t="str">
        <x:v>Lâm Thoại Thanh</x:v>
      </x:c>
      <x:c r="D8" s="57"/>
      <x:c r="E8" s="58" t="str">
        <x:f>IF(D8="","",IF(D8="Excellent | 1.50",1.5,IF(D8="Good | 1.20",1.2,IF(D8="Fair | 0.80",0.8,IF(D8="Poor | 0.30",0.3,0)))))</x:f>
      </x:c>
      <x:c r="F8" s="59"/>
      <x:c r="G8" s="58" t="str">
        <x:f>IF(F8="","",IF(F8="Excellent | 2.00",2,IF(F8="Good | 1.60",1.6,IF(F8="Fair | 1.00",1,IF(F8="Poor | 0.40",0.4,0)))))</x:f>
      </x:c>
      <x:c r="H8" s="59"/>
      <x:c r="I8" s="58" t="str">
        <x:f>IF(H8="","",IF(H8="Excellent | 1.50",1.5,IF(H8="Good | 1.20",1.2,IF(H8="Fair | 0.80",0.8,IF(H8="Poor | 0.30",0.3,0)))))</x:f>
      </x:c>
      <x:c r="J8" s="59"/>
      <x:c r="K8" s="58" t="str">
        <x:f>IF(J8="","",IF(J8="Excellent | 5.00",5,IF(J8="Good | 4.00",4,IF(J8="Fair | 2.75",2.75,IF(J8="Poor | 1.25",1.25,0)))))</x:f>
      </x:c>
      <x:c r="L8" s="60" t="str">
        <x:f>IF(COUNTA(D8,F8,H8,J8)&lt;4,"",SUM(E8,G8,I8,K8))</x:f>
      </x:c>
      <x:c r="M8" s="61" t="str">
        <x:f>IF(L8="","",IF(L8&gt;=9,"Excellent",IF(L8&gt;=7.5,"Good",IF(L8&gt;=5.5,"Satisfactory",IF(L8&gt;=4,"Basic","Poor")))))</x:f>
      </x:c>
      <x:c r="N8" s="62" t="str"/>
    </x:row>
    <x:row r="9" ht="24" customHeight="1">
      <x:c r="A9" s="56" t="n">
        <x:v>5</x:v>
      </x:c>
      <x:c r="B9" s="56" t="str">
        <x:v>CE190243</x:v>
      </x:c>
      <x:c r="C9" s="56" t="str">
        <x:v>Trần Quốc Thái</x:v>
      </x:c>
      <x:c r="D9" s="57"/>
      <x:c r="E9" s="58" t="str">
        <x:f>IF(D9="","",IF(D9="Excellent | 1.50",1.5,IF(D9="Good | 1.20",1.2,IF(D9="Fair | 0.80",0.8,IF(D9="Poor | 0.30",0.3,0)))))</x:f>
      </x:c>
      <x:c r="F9" s="59"/>
      <x:c r="G9" s="58" t="str">
        <x:f>IF(F9="","",IF(F9="Excellent | 2.00",2,IF(F9="Good | 1.60",1.6,IF(F9="Fair | 1.00",1,IF(F9="Poor | 0.40",0.4,0)))))</x:f>
      </x:c>
      <x:c r="H9" s="59"/>
      <x:c r="I9" s="58" t="str">
        <x:f>IF(H9="","",IF(H9="Excellent | 1.50",1.5,IF(H9="Good | 1.20",1.2,IF(H9="Fair | 0.80",0.8,IF(H9="Poor | 0.30",0.3,0)))))</x:f>
      </x:c>
      <x:c r="J9" s="59"/>
      <x:c r="K9" s="58" t="str">
        <x:f>IF(J9="","",IF(J9="Excellent | 5.00",5,IF(J9="Good | 4.00",4,IF(J9="Fair | 2.75",2.75,IF(J9="Poor | 1.25",1.25,0)))))</x:f>
      </x:c>
      <x:c r="L9" s="60" t="str">
        <x:f>IF(COUNTA(D9,F9,H9,J9)&lt;4,"",SUM(E9,G9,I9,K9))</x:f>
      </x:c>
      <x:c r="M9" s="61" t="str">
        <x:f>IF(L9="","",IF(L9&gt;=9,"Excellent",IF(L9&gt;=7.5,"Good",IF(L9&gt;=5.5,"Satisfactory",IF(L9&gt;=4,"Basic","Poor")))))</x:f>
      </x:c>
      <x:c r="N9" s="62" t="str"/>
    </x:row>
    <x:row r="10" ht="24" customHeight="1">
      <x:c r="A10" s="56" t="n">
        <x:v>6</x:v>
      </x:c>
      <x:c r="B10" s="56" t="str">
        <x:v>CE190595</x:v>
      </x:c>
      <x:c r="C10" s="56" t="str">
        <x:v>Phan Tuấn Thành</x:v>
      </x:c>
      <x:c r="D10" s="57"/>
      <x:c r="E10" s="58" t="str">
        <x:f>IF(D10="","",IF(D10="Excellent | 1.50",1.5,IF(D10="Good | 1.20",1.2,IF(D10="Fair | 0.80",0.8,IF(D10="Poor | 0.30",0.3,0)))))</x:f>
      </x:c>
      <x:c r="F10" s="59"/>
      <x:c r="G10" s="58" t="str">
        <x:f>IF(F10="","",IF(F10="Excellent | 2.00",2,IF(F10="Good | 1.60",1.6,IF(F10="Fair | 1.00",1,IF(F10="Poor | 0.40",0.4,0)))))</x:f>
      </x:c>
      <x:c r="H10" s="59"/>
      <x:c r="I10" s="58" t="str">
        <x:f>IF(H10="","",IF(H10="Excellent | 1.50",1.5,IF(H10="Good | 1.20",1.2,IF(H10="Fair | 0.80",0.8,IF(H10="Poor | 0.30",0.3,0)))))</x:f>
      </x:c>
      <x:c r="J10" s="59"/>
      <x:c r="K10" s="58" t="str">
        <x:f>IF(J10="","",IF(J10="Excellent | 5.00",5,IF(J10="Good | 4.00",4,IF(J10="Fair | 2.75",2.75,IF(J10="Poor | 1.25",1.25,0)))))</x:f>
      </x:c>
      <x:c r="L10" s="60" t="str">
        <x:f>IF(COUNTA(D10,F10,H10,J10)&lt;4,"",SUM(E10,G10,I10,K10))</x:f>
      </x:c>
      <x:c r="M10" s="61" t="str">
        <x:f>IF(L10="","",IF(L10&gt;=9,"Excellent",IF(L10&gt;=7.5,"Good",IF(L10&gt;=5.5,"Satisfactory",IF(L10&gt;=4,"Basic","Poor")))))</x:f>
      </x:c>
      <x:c r="N10" s="62" t="str"/>
    </x:row>
    <x:row r="11" ht="24" customHeight="1">
      <x:c r="A11" s="56" t="n">
        <x:v>7</x:v>
      </x:c>
      <x:c r="B11" s="56" t="str">
        <x:v>CE190719</x:v>
      </x:c>
      <x:c r="C11" s="56" t="str">
        <x:v>Trần Phan Nhật Huy</x:v>
      </x:c>
      <x:c r="D11" s="57"/>
      <x:c r="E11" s="58" t="str">
        <x:f>IF(D11="","",IF(D11="Excellent | 1.50",1.5,IF(D11="Good | 1.20",1.2,IF(D11="Fair | 0.80",0.8,IF(D11="Poor | 0.30",0.3,0)))))</x:f>
      </x:c>
      <x:c r="F11" s="59"/>
      <x:c r="G11" s="58" t="str">
        <x:f>IF(F11="","",IF(F11="Excellent | 2.00",2,IF(F11="Good | 1.60",1.6,IF(F11="Fair | 1.00",1,IF(F11="Poor | 0.40",0.4,0)))))</x:f>
      </x:c>
      <x:c r="H11" s="59"/>
      <x:c r="I11" s="58" t="str">
        <x:f>IF(H11="","",IF(H11="Excellent | 1.50",1.5,IF(H11="Good | 1.20",1.2,IF(H11="Fair | 0.80",0.8,IF(H11="Poor | 0.30",0.3,0)))))</x:f>
      </x:c>
      <x:c r="J11" s="59"/>
      <x:c r="K11" s="58" t="str">
        <x:f>IF(J11="","",IF(J11="Excellent | 5.00",5,IF(J11="Good | 4.00",4,IF(J11="Fair | 2.75",2.75,IF(J11="Poor | 1.25",1.25,0)))))</x:f>
      </x:c>
      <x:c r="L11" s="60" t="str">
        <x:f>IF(COUNTA(D11,F11,H11,J11)&lt;4,"",SUM(E11,G11,I11,K11))</x:f>
      </x:c>
      <x:c r="M11" s="61" t="str">
        <x:f>IF(L11="","",IF(L11&gt;=9,"Excellent",IF(L11&gt;=7.5,"Good",IF(L11&gt;=5.5,"Satisfactory",IF(L11&gt;=4,"Basic","Poor")))))</x:f>
      </x:c>
      <x:c r="N11" s="62" t="str"/>
    </x:row>
    <x:row r="12" ht="24" customHeight="1">
      <x:c r="A12" s="56" t="n">
        <x:v>8</x:v>
      </x:c>
      <x:c r="B12" s="56" t="str">
        <x:v>CE190857</x:v>
      </x:c>
      <x:c r="C12" s="56" t="str">
        <x:v>Tô Phi Oanh</x:v>
      </x:c>
      <x:c r="D12" s="57"/>
      <x:c r="E12" s="58" t="str">
        <x:f>IF(D12="","",IF(D12="Excellent | 1.50",1.5,IF(D12="Good | 1.20",1.2,IF(D12="Fair | 0.80",0.8,IF(D12="Poor | 0.30",0.3,0)))))</x:f>
      </x:c>
      <x:c r="F12" s="59"/>
      <x:c r="G12" s="58" t="str">
        <x:f>IF(F12="","",IF(F12="Excellent | 2.00",2,IF(F12="Good | 1.60",1.6,IF(F12="Fair | 1.00",1,IF(F12="Poor | 0.40",0.4,0)))))</x:f>
      </x:c>
      <x:c r="H12" s="59"/>
      <x:c r="I12" s="58" t="str">
        <x:f>IF(H12="","",IF(H12="Excellent | 1.50",1.5,IF(H12="Good | 1.20",1.2,IF(H12="Fair | 0.80",0.8,IF(H12="Poor | 0.30",0.3,0)))))</x:f>
      </x:c>
      <x:c r="J12" s="59"/>
      <x:c r="K12" s="58" t="str">
        <x:f>IF(J12="","",IF(J12="Excellent | 5.00",5,IF(J12="Good | 4.00",4,IF(J12="Fair | 2.75",2.75,IF(J12="Poor | 1.25",1.25,0)))))</x:f>
      </x:c>
      <x:c r="L12" s="60" t="str">
        <x:f>IF(COUNTA(D12,F12,H12,J12)&lt;4,"",SUM(E12,G12,I12,K12))</x:f>
      </x:c>
      <x:c r="M12" s="61" t="str">
        <x:f>IF(L12="","",IF(L12&gt;=9,"Excellent",IF(L12&gt;=7.5,"Good",IF(L12&gt;=5.5,"Satisfactory",IF(L12&gt;=4,"Basic","Poor")))))</x:f>
      </x:c>
      <x:c r="N12" s="62" t="str"/>
    </x:row>
    <x:row r="13" ht="24" customHeight="1">
      <x:c r="A13" s="56" t="n">
        <x:v>9</x:v>
      </x:c>
      <x:c r="B13" s="56" t="str">
        <x:v>CE190272</x:v>
      </x:c>
      <x:c r="C13" s="56" t="str">
        <x:v>Trần Lương Thiện Hoàng</x:v>
      </x:c>
      <x:c r="D13" s="57"/>
      <x:c r="E13" s="58" t="str">
        <x:f>IF(D13="","",IF(D13="Excellent | 1.50",1.5,IF(D13="Good | 1.20",1.2,IF(D13="Fair | 0.80",0.8,IF(D13="Poor | 0.30",0.3,0)))))</x:f>
      </x:c>
      <x:c r="F13" s="59"/>
      <x:c r="G13" s="58" t="str">
        <x:f>IF(F13="","",IF(F13="Excellent | 2.00",2,IF(F13="Good | 1.60",1.6,IF(F13="Fair | 1.00",1,IF(F13="Poor | 0.40",0.4,0)))))</x:f>
      </x:c>
      <x:c r="H13" s="59"/>
      <x:c r="I13" s="58" t="str">
        <x:f>IF(H13="","",IF(H13="Excellent | 1.50",1.5,IF(H13="Good | 1.20",1.2,IF(H13="Fair | 0.80",0.8,IF(H13="Poor | 0.30",0.3,0)))))</x:f>
      </x:c>
      <x:c r="J13" s="59"/>
      <x:c r="K13" s="58" t="str">
        <x:f>IF(J13="","",IF(J13="Excellent | 5.00",5,IF(J13="Good | 4.00",4,IF(J13="Fair | 2.75",2.75,IF(J13="Poor | 1.25",1.25,0)))))</x:f>
      </x:c>
      <x:c r="L13" s="60" t="str">
        <x:f>IF(COUNTA(D13,F13,H13,J13)&lt;4,"",SUM(E13,G13,I13,K13))</x:f>
      </x:c>
      <x:c r="M13" s="61" t="str">
        <x:f>IF(L13="","",IF(L13&gt;=9,"Excellent",IF(L13&gt;=7.5,"Good",IF(L13&gt;=5.5,"Satisfactory",IF(L13&gt;=4,"Basic","Poor")))))</x:f>
      </x:c>
      <x:c r="N13" s="62" t="str"/>
    </x:row>
    <x:row r="14" ht="24" customHeight="1">
      <x:c r="A14" s="56" t="n">
        <x:v>10</x:v>
      </x:c>
      <x:c r="B14" s="56" t="str">
        <x:v>CE190378</x:v>
      </x:c>
      <x:c r="C14" s="56" t="str">
        <x:v>Hồ Minh Duy</x:v>
      </x:c>
      <x:c r="D14" s="57"/>
      <x:c r="E14" s="58" t="str">
        <x:f>IF(D14="","",IF(D14="Excellent | 1.50",1.5,IF(D14="Good | 1.20",1.2,IF(D14="Fair | 0.80",0.8,IF(D14="Poor | 0.30",0.3,0)))))</x:f>
      </x:c>
      <x:c r="F14" s="59"/>
      <x:c r="G14" s="58" t="str">
        <x:f>IF(F14="","",IF(F14="Excellent | 2.00",2,IF(F14="Good | 1.60",1.6,IF(F14="Fair | 1.00",1,IF(F14="Poor | 0.40",0.4,0)))))</x:f>
      </x:c>
      <x:c r="H14" s="59"/>
      <x:c r="I14" s="58" t="str">
        <x:f>IF(H14="","",IF(H14="Excellent | 1.50",1.5,IF(H14="Good | 1.20",1.2,IF(H14="Fair | 0.80",0.8,IF(H14="Poor | 0.30",0.3,0)))))</x:f>
      </x:c>
      <x:c r="J14" s="59"/>
      <x:c r="K14" s="58" t="str">
        <x:f>IF(J14="","",IF(J14="Excellent | 5.00",5,IF(J14="Good | 4.00",4,IF(J14="Fair | 2.75",2.75,IF(J14="Poor | 1.25",1.25,0)))))</x:f>
      </x:c>
      <x:c r="L14" s="60" t="str">
        <x:f>IF(COUNTA(D14,F14,H14,J14)&lt;4,"",SUM(E14,G14,I14,K14))</x:f>
      </x:c>
      <x:c r="M14" s="61" t="str">
        <x:f>IF(L14="","",IF(L14&gt;=9,"Excellent",IF(L14&gt;=7.5,"Good",IF(L14&gt;=5.5,"Satisfactory",IF(L14&gt;=4,"Basic","Poor")))))</x:f>
      </x:c>
      <x:c r="N14" s="62" t="str"/>
    </x:row>
    <x:row r="15" ht="24" customHeight="1">
      <x:c r="A15" s="56" t="n">
        <x:v>11</x:v>
      </x:c>
      <x:c r="B15" s="56" t="str">
        <x:v>CE190574</x:v>
      </x:c>
      <x:c r="C15" s="56" t="str">
        <x:v>Lâm Đặng Kỳ Anh</x:v>
      </x:c>
      <x:c r="D15" s="57"/>
      <x:c r="E15" s="58" t="str">
        <x:f>IF(D15="","",IF(D15="Excellent | 1.50",1.5,IF(D15="Good | 1.20",1.2,IF(D15="Fair | 0.80",0.8,IF(D15="Poor | 0.30",0.3,0)))))</x:f>
      </x:c>
      <x:c r="F15" s="59"/>
      <x:c r="G15" s="58" t="str">
        <x:f>IF(F15="","",IF(F15="Excellent | 2.00",2,IF(F15="Good | 1.60",1.6,IF(F15="Fair | 1.00",1,IF(F15="Poor | 0.40",0.4,0)))))</x:f>
      </x:c>
      <x:c r="H15" s="59"/>
      <x:c r="I15" s="58" t="str">
        <x:f>IF(H15="","",IF(H15="Excellent | 1.50",1.5,IF(H15="Good | 1.20",1.2,IF(H15="Fair | 0.80",0.8,IF(H15="Poor | 0.30",0.3,0)))))</x:f>
      </x:c>
      <x:c r="J15" s="59"/>
      <x:c r="K15" s="58" t="str">
        <x:f>IF(J15="","",IF(J15="Excellent | 5.00",5,IF(J15="Good | 4.00",4,IF(J15="Fair | 2.75",2.75,IF(J15="Poor | 1.25",1.25,0)))))</x:f>
      </x:c>
      <x:c r="L15" s="60" t="str">
        <x:f>IF(COUNTA(D15,F15,H15,J15)&lt;4,"",SUM(E15,G15,I15,K15))</x:f>
      </x:c>
      <x:c r="M15" s="61" t="str">
        <x:f>IF(L15="","",IF(L15&gt;=9,"Excellent",IF(L15&gt;=7.5,"Good",IF(L15&gt;=5.5,"Satisfactory",IF(L15&gt;=4,"Basic","Poor")))))</x:f>
      </x:c>
      <x:c r="N15" s="62" t="str"/>
    </x:row>
    <x:row r="16" ht="24" customHeight="1">
      <x:c r="A16" s="56" t="n">
        <x:v>12</x:v>
      </x:c>
      <x:c r="B16" s="56" t="str">
        <x:v>CE190709</x:v>
      </x:c>
      <x:c r="C16" s="56" t="str">
        <x:v>Võ Anh Ben</x:v>
      </x:c>
      <x:c r="D16" s="57"/>
      <x:c r="E16" s="58" t="str">
        <x:f>IF(D16="","",IF(D16="Excellent | 1.50",1.5,IF(D16="Good | 1.20",1.2,IF(D16="Fair | 0.80",0.8,IF(D16="Poor | 0.30",0.3,0)))))</x:f>
      </x:c>
      <x:c r="F16" s="59"/>
      <x:c r="G16" s="58" t="str">
        <x:f>IF(F16="","",IF(F16="Excellent | 2.00",2,IF(F16="Good | 1.60",1.6,IF(F16="Fair | 1.00",1,IF(F16="Poor | 0.40",0.4,0)))))</x:f>
      </x:c>
      <x:c r="H16" s="59"/>
      <x:c r="I16" s="58" t="str">
        <x:f>IF(H16="","",IF(H16="Excellent | 1.50",1.5,IF(H16="Good | 1.20",1.2,IF(H16="Fair | 0.80",0.8,IF(H16="Poor | 0.30",0.3,0)))))</x:f>
      </x:c>
      <x:c r="J16" s="59"/>
      <x:c r="K16" s="58" t="str">
        <x:f>IF(J16="","",IF(J16="Excellent | 5.00",5,IF(J16="Good | 4.00",4,IF(J16="Fair | 2.75",2.75,IF(J16="Poor | 1.25",1.25,0)))))</x:f>
      </x:c>
      <x:c r="L16" s="60" t="str">
        <x:f>IF(COUNTA(D16,F16,H16,J16)&lt;4,"",SUM(E16,G16,I16,K16))</x:f>
      </x:c>
      <x:c r="M16" s="61" t="str">
        <x:f>IF(L16="","",IF(L16&gt;=9,"Excellent",IF(L16&gt;=7.5,"Good",IF(L16&gt;=5.5,"Satisfactory",IF(L16&gt;=4,"Basic","Poor")))))</x:f>
      </x:c>
      <x:c r="N16" s="62" t="str"/>
    </x:row>
    <x:row r="17" ht="24" customHeight="1">
      <x:c r="A17" s="56" t="n">
        <x:v>13</x:v>
      </x:c>
      <x:c r="B17" s="56" t="str">
        <x:v>CE190881</x:v>
      </x:c>
      <x:c r="C17" s="56" t="str">
        <x:v>Trần Hiển Vinh</x:v>
      </x:c>
      <x:c r="D17" s="57"/>
      <x:c r="E17" s="58" t="str">
        <x:f>IF(D17="","",IF(D17="Excellent | 1.50",1.5,IF(D17="Good | 1.20",1.2,IF(D17="Fair | 0.80",0.8,IF(D17="Poor | 0.30",0.3,0)))))</x:f>
      </x:c>
      <x:c r="F17" s="59"/>
      <x:c r="G17" s="58" t="str">
        <x:f>IF(F17="","",IF(F17="Excellent | 2.00",2,IF(F17="Good | 1.60",1.6,IF(F17="Fair | 1.00",1,IF(F17="Poor | 0.40",0.4,0)))))</x:f>
      </x:c>
      <x:c r="H17" s="59"/>
      <x:c r="I17" s="58" t="str">
        <x:f>IF(H17="","",IF(H17="Excellent | 1.50",1.5,IF(H17="Good | 1.20",1.2,IF(H17="Fair | 0.80",0.8,IF(H17="Poor | 0.30",0.3,0)))))</x:f>
      </x:c>
      <x:c r="J17" s="59"/>
      <x:c r="K17" s="58" t="str">
        <x:f>IF(J17="","",IF(J17="Excellent | 5.00",5,IF(J17="Good | 4.00",4,IF(J17="Fair | 2.75",2.75,IF(J17="Poor | 1.25",1.25,0)))))</x:f>
      </x:c>
      <x:c r="L17" s="60" t="str">
        <x:f>IF(COUNTA(D17,F17,H17,J17)&lt;4,"",SUM(E17,G17,I17,K17))</x:f>
      </x:c>
      <x:c r="M17" s="61" t="str">
        <x:f>IF(L17="","",IF(L17&gt;=9,"Excellent",IF(L17&gt;=7.5,"Good",IF(L17&gt;=5.5,"Satisfactory",IF(L17&gt;=4,"Basic","Poor")))))</x:f>
      </x:c>
      <x:c r="N17" s="62" t="str"/>
    </x:row>
    <x:row r="18" ht="24" customHeight="1">
      <x:c r="A18" s="56" t="n">
        <x:v>14</x:v>
      </x:c>
      <x:c r="B18" s="56" t="str">
        <x:v>CE180289</x:v>
      </x:c>
      <x:c r="C18" s="56" t="str">
        <x:v>Phạm Quốc Chí</x:v>
      </x:c>
      <x:c r="D18" s="57"/>
      <x:c r="E18" s="58" t="str">
        <x:f>IF(D18="","",IF(D18="Excellent | 1.50",1.5,IF(D18="Good | 1.20",1.2,IF(D18="Fair | 0.80",0.8,IF(D18="Poor | 0.30",0.3,0)))))</x:f>
      </x:c>
      <x:c r="F18" s="59"/>
      <x:c r="G18" s="58" t="str">
        <x:f>IF(F18="","",IF(F18="Excellent | 2.00",2,IF(F18="Good | 1.60",1.6,IF(F18="Fair | 1.00",1,IF(F18="Poor | 0.40",0.4,0)))))</x:f>
      </x:c>
      <x:c r="H18" s="59"/>
      <x:c r="I18" s="58" t="str">
        <x:f>IF(H18="","",IF(H18="Excellent | 1.50",1.5,IF(H18="Good | 1.20",1.2,IF(H18="Fair | 0.80",0.8,IF(H18="Poor | 0.30",0.3,0)))))</x:f>
      </x:c>
      <x:c r="J18" s="59"/>
      <x:c r="K18" s="58" t="str">
        <x:f>IF(J18="","",IF(J18="Excellent | 5.00",5,IF(J18="Good | 4.00",4,IF(J18="Fair | 2.75",2.75,IF(J18="Poor | 1.25",1.25,0)))))</x:f>
      </x:c>
      <x:c r="L18" s="60" t="str">
        <x:f>IF(COUNTA(D18,F18,H18,J18)&lt;4,"",SUM(E18,G18,I18,K18))</x:f>
      </x:c>
      <x:c r="M18" s="61" t="str">
        <x:f>IF(L18="","",IF(L18&gt;=9,"Excellent",IF(L18&gt;=7.5,"Good",IF(L18&gt;=5.5,"Satisfactory",IF(L18&gt;=4,"Basic","Poor")))))</x:f>
      </x:c>
      <x:c r="N18" s="62" t="str"/>
    </x:row>
    <x:row r="19" ht="24" customHeight="1">
      <x:c r="A19" s="56" t="n">
        <x:v>15</x:v>
      </x:c>
      <x:c r="B19" s="56" t="str">
        <x:v>CE191217</x:v>
      </x:c>
      <x:c r="C19" s="56" t="str">
        <x:v>Huỳnh Kim Huệ</x:v>
      </x:c>
      <x:c r="D19" s="57"/>
      <x:c r="E19" s="58" t="str">
        <x:f>IF(D19="","",IF(D19="Excellent | 1.50",1.5,IF(D19="Good | 1.20",1.2,IF(D19="Fair | 0.80",0.8,IF(D19="Poor | 0.30",0.3,0)))))</x:f>
      </x:c>
      <x:c r="F19" s="59"/>
      <x:c r="G19" s="58" t="str">
        <x:f>IF(F19="","",IF(F19="Excellent | 2.00",2,IF(F19="Good | 1.60",1.6,IF(F19="Fair | 1.00",1,IF(F19="Poor | 0.40",0.4,0)))))</x:f>
      </x:c>
      <x:c r="H19" s="59"/>
      <x:c r="I19" s="58" t="str">
        <x:f>IF(H19="","",IF(H19="Excellent | 1.50",1.5,IF(H19="Good | 1.20",1.2,IF(H19="Fair | 0.80",0.8,IF(H19="Poor | 0.30",0.3,0)))))</x:f>
      </x:c>
      <x:c r="J19" s="59"/>
      <x:c r="K19" s="58" t="str">
        <x:f>IF(J19="","",IF(J19="Excellent | 5.00",5,IF(J19="Good | 4.00",4,IF(J19="Fair | 2.75",2.75,IF(J19="Poor | 1.25",1.25,0)))))</x:f>
      </x:c>
      <x:c r="L19" s="60" t="str">
        <x:f>IF(COUNTA(D19,F19,H19,J19)&lt;4,"",SUM(E19,G19,I19,K19))</x:f>
      </x:c>
      <x:c r="M19" s="61" t="str">
        <x:f>IF(L19="","",IF(L19&gt;=9,"Excellent",IF(L19&gt;=7.5,"Good",IF(L19&gt;=5.5,"Satisfactory",IF(L19&gt;=4,"Basic","Poor")))))</x:f>
      </x:c>
      <x:c r="N19" s="62" t="str"/>
    </x:row>
    <x:row r="20" ht="24" customHeight="1">
      <x:c r="A20" s="56" t="n">
        <x:v>16</x:v>
      </x:c>
      <x:c r="B20" s="56" t="str">
        <x:v>CE191463</x:v>
      </x:c>
      <x:c r="C20" s="56" t="str">
        <x:v>Võ Anh Hào</x:v>
      </x:c>
      <x:c r="D20" s="57"/>
      <x:c r="E20" s="58" t="str">
        <x:f>IF(D20="","",IF(D20="Excellent | 1.50",1.5,IF(D20="Good | 1.20",1.2,IF(D20="Fair | 0.80",0.8,IF(D20="Poor | 0.30",0.3,0)))))</x:f>
      </x:c>
      <x:c r="F20" s="59"/>
      <x:c r="G20" s="58" t="str">
        <x:f>IF(F20="","",IF(F20="Excellent | 2.00",2,IF(F20="Good | 1.60",1.6,IF(F20="Fair | 1.00",1,IF(F20="Poor | 0.40",0.4,0)))))</x:f>
      </x:c>
      <x:c r="H20" s="59"/>
      <x:c r="I20" s="58" t="str">
        <x:f>IF(H20="","",IF(H20="Excellent | 1.50",1.5,IF(H20="Good | 1.20",1.2,IF(H20="Fair | 0.80",0.8,IF(H20="Poor | 0.30",0.3,0)))))</x:f>
      </x:c>
      <x:c r="J20" s="59"/>
      <x:c r="K20" s="58" t="str">
        <x:f>IF(J20="","",IF(J20="Excellent | 5.00",5,IF(J20="Good | 4.00",4,IF(J20="Fair | 2.75",2.75,IF(J20="Poor | 1.25",1.25,0)))))</x:f>
      </x:c>
      <x:c r="L20" s="60" t="str">
        <x:f>IF(COUNTA(D20,F20,H20,J20)&lt;4,"",SUM(E20,G20,I20,K20))</x:f>
      </x:c>
      <x:c r="M20" s="61" t="str">
        <x:f>IF(L20="","",IF(L20&gt;=9,"Excellent",IF(L20&gt;=7.5,"Good",IF(L20&gt;=5.5,"Satisfactory",IF(L20&gt;=4,"Basic","Poor")))))</x:f>
      </x:c>
      <x:c r="N20" s="62" t="str"/>
    </x:row>
    <x:row r="21" ht="24" customHeight="1">
      <x:c r="A21" s="56" t="n">
        <x:v>17</x:v>
      </x:c>
      <x:c r="B21" s="56" t="str">
        <x:v>CE191554</x:v>
      </x:c>
      <x:c r="C21" s="56" t="str">
        <x:v>Phan Bảo Thắng</x:v>
      </x:c>
      <x:c r="D21" s="57"/>
      <x:c r="E21" s="58" t="str">
        <x:f>IF(D21="","",IF(D21="Excellent | 1.50",1.5,IF(D21="Good | 1.20",1.2,IF(D21="Fair | 0.80",0.8,IF(D21="Poor | 0.30",0.3,0)))))</x:f>
      </x:c>
      <x:c r="F21" s="59"/>
      <x:c r="G21" s="58" t="str">
        <x:f>IF(F21="","",IF(F21="Excellent | 2.00",2,IF(F21="Good | 1.60",1.6,IF(F21="Fair | 1.00",1,IF(F21="Poor | 0.40",0.4,0)))))</x:f>
      </x:c>
      <x:c r="H21" s="59"/>
      <x:c r="I21" s="58" t="str">
        <x:f>IF(H21="","",IF(H21="Excellent | 1.50",1.5,IF(H21="Good | 1.20",1.2,IF(H21="Fair | 0.80",0.8,IF(H21="Poor | 0.30",0.3,0)))))</x:f>
      </x:c>
      <x:c r="J21" s="59"/>
      <x:c r="K21" s="58" t="str">
        <x:f>IF(J21="","",IF(J21="Excellent | 5.00",5,IF(J21="Good | 4.00",4,IF(J21="Fair | 2.75",2.75,IF(J21="Poor | 1.25",1.25,0)))))</x:f>
      </x:c>
      <x:c r="L21" s="60" t="str">
        <x:f>IF(COUNTA(D21,F21,H21,J21)&lt;4,"",SUM(E21,G21,I21,K21))</x:f>
      </x:c>
      <x:c r="M21" s="61" t="str">
        <x:f>IF(L21="","",IF(L21&gt;=9,"Excellent",IF(L21&gt;=7.5,"Good",IF(L21&gt;=5.5,"Satisfactory",IF(L21&gt;=4,"Basic","Poor")))))</x:f>
      </x:c>
      <x:c r="N21" s="62" t="str"/>
    </x:row>
    <x:row r="22" ht="24" customHeight="1">
      <x:c r="A22" s="56" t="n">
        <x:v>18</x:v>
      </x:c>
      <x:c r="B22" s="56" t="str">
        <x:v>CE191759</x:v>
      </x:c>
      <x:c r="C22" s="56" t="str">
        <x:v>Nguyễn Minh Triết</x:v>
      </x:c>
      <x:c r="D22" s="57"/>
      <x:c r="E22" s="58" t="str">
        <x:f>IF(D22="","",IF(D22="Excellent | 1.50",1.5,IF(D22="Good | 1.20",1.2,IF(D22="Fair | 0.80",0.8,IF(D22="Poor | 0.30",0.3,0)))))</x:f>
      </x:c>
      <x:c r="F22" s="59"/>
      <x:c r="G22" s="58" t="str">
        <x:f>IF(F22="","",IF(F22="Excellent | 2.00",2,IF(F22="Good | 1.60",1.6,IF(F22="Fair | 1.00",1,IF(F22="Poor | 0.40",0.4,0)))))</x:f>
      </x:c>
      <x:c r="H22" s="59"/>
      <x:c r="I22" s="58" t="str">
        <x:f>IF(H22="","",IF(H22="Excellent | 1.50",1.5,IF(H22="Good | 1.20",1.2,IF(H22="Fair | 0.80",0.8,IF(H22="Poor | 0.30",0.3,0)))))</x:f>
      </x:c>
      <x:c r="J22" s="59"/>
      <x:c r="K22" s="58" t="str">
        <x:f>IF(J22="","",IF(J22="Excellent | 5.00",5,IF(J22="Good | 4.00",4,IF(J22="Fair | 2.75",2.75,IF(J22="Poor | 1.25",1.25,0)))))</x:f>
      </x:c>
      <x:c r="L22" s="60" t="str">
        <x:f>IF(COUNTA(D22,F22,H22,J22)&lt;4,"",SUM(E22,G22,I22,K22))</x:f>
      </x:c>
      <x:c r="M22" s="61" t="str">
        <x:f>IF(L22="","",IF(L22&gt;=9,"Excellent",IF(L22&gt;=7.5,"Good",IF(L22&gt;=5.5,"Satisfactory",IF(L22&gt;=4,"Basic","Poor")))))</x:f>
      </x:c>
      <x:c r="N22" s="62" t="str"/>
    </x:row>
    <x:row r="23" ht="24" customHeight="1">
      <x:c r="A23" s="56" t="n">
        <x:v>19</x:v>
      </x:c>
      <x:c r="B23" s="56" t="str">
        <x:v>CE191105</x:v>
      </x:c>
      <x:c r="C23" s="56" t="str">
        <x:v>Phùng Đình Khang</x:v>
      </x:c>
      <x:c r="D23" s="57"/>
      <x:c r="E23" s="58" t="str">
        <x:f>IF(D23="","",IF(D23="Excellent | 1.50",1.5,IF(D23="Good | 1.20",1.2,IF(D23="Fair | 0.80",0.8,IF(D23="Poor | 0.30",0.3,0)))))</x:f>
      </x:c>
      <x:c r="F23" s="59"/>
      <x:c r="G23" s="58" t="str">
        <x:f>IF(F23="","",IF(F23="Excellent | 2.00",2,IF(F23="Good | 1.60",1.6,IF(F23="Fair | 1.00",1,IF(F23="Poor | 0.40",0.4,0)))))</x:f>
      </x:c>
      <x:c r="H23" s="59"/>
      <x:c r="I23" s="58" t="str">
        <x:f>IF(H23="","",IF(H23="Excellent | 1.50",1.5,IF(H23="Good | 1.20",1.2,IF(H23="Fair | 0.80",0.8,IF(H23="Poor | 0.30",0.3,0)))))</x:f>
      </x:c>
      <x:c r="J23" s="59"/>
      <x:c r="K23" s="58" t="str">
        <x:f>IF(J23="","",IF(J23="Excellent | 5.00",5,IF(J23="Good | 4.00",4,IF(J23="Fair | 2.75",2.75,IF(J23="Poor | 1.25",1.25,0)))))</x:f>
      </x:c>
      <x:c r="L23" s="60" t="str">
        <x:f>IF(COUNTA(D23,F23,H23,J23)&lt;4,"",SUM(E23,G23,I23,K23))</x:f>
      </x:c>
      <x:c r="M23" s="61" t="str">
        <x:f>IF(L23="","",IF(L23&gt;=9,"Excellent",IF(L23&gt;=7.5,"Good",IF(L23&gt;=5.5,"Satisfactory",IF(L23&gt;=4,"Basic","Poor")))))</x:f>
      </x:c>
      <x:c r="N23" s="62" t="str"/>
    </x:row>
    <x:row r="24" ht="24" customHeight="1">
      <x:c r="A24" s="56" t="n">
        <x:v>20</x:v>
      </x:c>
      <x:c r="B24" s="56" t="str">
        <x:v>CE191127</x:v>
      </x:c>
      <x:c r="C24" s="56" t="str">
        <x:v>Trần Văn Cường</x:v>
      </x:c>
      <x:c r="D24" s="57"/>
      <x:c r="E24" s="58" t="str">
        <x:f>IF(D24="","",IF(D24="Excellent | 1.50",1.5,IF(D24="Good | 1.20",1.2,IF(D24="Fair | 0.80",0.8,IF(D24="Poor | 0.30",0.3,0)))))</x:f>
      </x:c>
      <x:c r="F24" s="59"/>
      <x:c r="G24" s="58" t="str">
        <x:f>IF(F24="","",IF(F24="Excellent | 2.00",2,IF(F24="Good | 1.60",1.6,IF(F24="Fair | 1.00",1,IF(F24="Poor | 0.40",0.4,0)))))</x:f>
      </x:c>
      <x:c r="H24" s="59"/>
      <x:c r="I24" s="58" t="str">
        <x:f>IF(H24="","",IF(H24="Excellent | 1.50",1.5,IF(H24="Good | 1.20",1.2,IF(H24="Fair | 0.80",0.8,IF(H24="Poor | 0.30",0.3,0)))))</x:f>
      </x:c>
      <x:c r="J24" s="59"/>
      <x:c r="K24" s="58" t="str">
        <x:f>IF(J24="","",IF(J24="Excellent | 5.00",5,IF(J24="Good | 4.00",4,IF(J24="Fair | 2.75",2.75,IF(J24="Poor | 1.25",1.25,0)))))</x:f>
      </x:c>
      <x:c r="L24" s="60" t="str">
        <x:f>IF(COUNTA(D24,F24,H24,J24)&lt;4,"",SUM(E24,G24,I24,K24))</x:f>
      </x:c>
      <x:c r="M24" s="61" t="str">
        <x:f>IF(L24="","",IF(L24&gt;=9,"Excellent",IF(L24&gt;=7.5,"Good",IF(L24&gt;=5.5,"Satisfactory",IF(L24&gt;=4,"Basic","Poor")))))</x:f>
      </x:c>
      <x:c r="N24" s="62" t="str"/>
    </x:row>
    <x:row r="25" ht="24" customHeight="1">
      <x:c r="A25" s="56" t="n">
        <x:v>21</x:v>
      </x:c>
      <x:c r="B25" s="56" t="str">
        <x:v>CE191280</x:v>
      </x:c>
      <x:c r="C25" s="56" t="str">
        <x:v>Võ Thành Đạt</x:v>
      </x:c>
      <x:c r="D25" s="57"/>
      <x:c r="E25" s="58" t="str">
        <x:f>IF(D25="","",IF(D25="Excellent | 1.50",1.5,IF(D25="Good | 1.20",1.2,IF(D25="Fair | 0.80",0.8,IF(D25="Poor | 0.30",0.3,0)))))</x:f>
      </x:c>
      <x:c r="F25" s="59"/>
      <x:c r="G25" s="58" t="str">
        <x:f>IF(F25="","",IF(F25="Excellent | 2.00",2,IF(F25="Good | 1.60",1.6,IF(F25="Fair | 1.00",1,IF(F25="Poor | 0.40",0.4,0)))))</x:f>
      </x:c>
      <x:c r="H25" s="59"/>
      <x:c r="I25" s="58" t="str">
        <x:f>IF(H25="","",IF(H25="Excellent | 1.50",1.5,IF(H25="Good | 1.20",1.2,IF(H25="Fair | 0.80",0.8,IF(H25="Poor | 0.30",0.3,0)))))</x:f>
      </x:c>
      <x:c r="J25" s="59"/>
      <x:c r="K25" s="58" t="str">
        <x:f>IF(J25="","",IF(J25="Excellent | 5.00",5,IF(J25="Good | 4.00",4,IF(J25="Fair | 2.75",2.75,IF(J25="Poor | 1.25",1.25,0)))))</x:f>
      </x:c>
      <x:c r="L25" s="60" t="str">
        <x:f>IF(COUNTA(D25,F25,H25,J25)&lt;4,"",SUM(E25,G25,I25,K25))</x:f>
      </x:c>
      <x:c r="M25" s="61" t="str">
        <x:f>IF(L25="","",IF(L25&gt;=9,"Excellent",IF(L25&gt;=7.5,"Good",IF(L25&gt;=5.5,"Satisfactory",IF(L25&gt;=4,"Basic","Poor")))))</x:f>
      </x:c>
      <x:c r="N25" s="62" t="str"/>
    </x:row>
    <x:row r="26" ht="24" customHeight="1">
      <x:c r="A26" s="56" t="n">
        <x:v>22</x:v>
      </x:c>
      <x:c r="B26" s="56" t="str">
        <x:v>CE191354</x:v>
      </x:c>
      <x:c r="C26" s="56" t="str">
        <x:v>Nguyễn Hưng Phát Đạt</x:v>
      </x:c>
      <x:c r="D26" s="57"/>
      <x:c r="E26" s="58" t="str">
        <x:f>IF(D26="","",IF(D26="Excellent | 1.50",1.5,IF(D26="Good | 1.20",1.2,IF(D26="Fair | 0.80",0.8,IF(D26="Poor | 0.30",0.3,0)))))</x:f>
      </x:c>
      <x:c r="F26" s="59"/>
      <x:c r="G26" s="58" t="str">
        <x:f>IF(F26="","",IF(F26="Excellent | 2.00",2,IF(F26="Good | 1.60",1.6,IF(F26="Fair | 1.00",1,IF(F26="Poor | 0.40",0.4,0)))))</x:f>
      </x:c>
      <x:c r="H26" s="59"/>
      <x:c r="I26" s="58" t="str">
        <x:f>IF(H26="","",IF(H26="Excellent | 1.50",1.5,IF(H26="Good | 1.20",1.2,IF(H26="Fair | 0.80",0.8,IF(H26="Poor | 0.30",0.3,0)))))</x:f>
      </x:c>
      <x:c r="J26" s="59"/>
      <x:c r="K26" s="58" t="str">
        <x:f>IF(J26="","",IF(J26="Excellent | 5.00",5,IF(J26="Good | 4.00",4,IF(J26="Fair | 2.75",2.75,IF(J26="Poor | 1.25",1.25,0)))))</x:f>
      </x:c>
      <x:c r="L26" s="60" t="str">
        <x:f>IF(COUNTA(D26,F26,H26,J26)&lt;4,"",SUM(E26,G26,I26,K26))</x:f>
      </x:c>
      <x:c r="M26" s="61" t="str">
        <x:f>IF(L26="","",IF(L26&gt;=9,"Excellent",IF(L26&gt;=7.5,"Good",IF(L26&gt;=5.5,"Satisfactory",IF(L26&gt;=4,"Basic","Poor")))))</x:f>
      </x:c>
      <x:c r="N26" s="62" t="str"/>
    </x:row>
    <x:row r="27" ht="24" customHeight="1">
      <x:c r="A27" s="56" t="n">
        <x:v>23</x:v>
      </x:c>
      <x:c r="B27" s="56" t="str">
        <x:v>CE192048</x:v>
      </x:c>
      <x:c r="C27" s="56" t="str">
        <x:v>Nguyễn Hoàng Hân</x:v>
      </x:c>
      <x:c r="D27" s="57"/>
      <x:c r="E27" s="58" t="str">
        <x:f>IF(D27="","",IF(D27="Excellent | 1.50",1.5,IF(D27="Good | 1.20",1.2,IF(D27="Fair | 0.80",0.8,IF(D27="Poor | 0.30",0.3,0)))))</x:f>
      </x:c>
      <x:c r="F27" s="59"/>
      <x:c r="G27" s="58" t="str">
        <x:f>IF(F27="","",IF(F27="Excellent | 2.00",2,IF(F27="Good | 1.60",1.6,IF(F27="Fair | 1.00",1,IF(F27="Poor | 0.40",0.4,0)))))</x:f>
      </x:c>
      <x:c r="H27" s="59"/>
      <x:c r="I27" s="58" t="str">
        <x:f>IF(H27="","",IF(H27="Excellent | 1.50",1.5,IF(H27="Good | 1.20",1.2,IF(H27="Fair | 0.80",0.8,IF(H27="Poor | 0.30",0.3,0)))))</x:f>
      </x:c>
      <x:c r="J27" s="59"/>
      <x:c r="K27" s="58" t="str">
        <x:f>IF(J27="","",IF(J27="Excellent | 5.00",5,IF(J27="Good | 4.00",4,IF(J27="Fair | 2.75",2.75,IF(J27="Poor | 1.25",1.25,0)))))</x:f>
      </x:c>
      <x:c r="L27" s="60" t="str">
        <x:f>IF(COUNTA(D27,F27,H27,J27)&lt;4,"",SUM(E27,G27,I27,K27))</x:f>
      </x:c>
      <x:c r="M27" s="61" t="str">
        <x:f>IF(L27="","",IF(L27&gt;=9,"Excellent",IF(L27&gt;=7.5,"Good",IF(L27&gt;=5.5,"Satisfactory",IF(L27&gt;=4,"Basic","Poor")))))</x:f>
      </x:c>
      <x:c r="N27" s="62" t="str"/>
    </x:row>
    <x:row r="28" ht="24" customHeight="1">
      <x:c r="A28" s="56" t="n">
        <x:v>24</x:v>
      </x:c>
      <x:c r="B28" s="56" t="str">
        <x:v>CE190199</x:v>
      </x:c>
      <x:c r="C28" s="56" t="str">
        <x:v>Trần Công Thuận</x:v>
      </x:c>
      <x:c r="D28" s="57"/>
      <x:c r="E28" s="58" t="str">
        <x:f>IF(D28="","",IF(D28="Excellent | 1.50",1.5,IF(D28="Good | 1.20",1.2,IF(D28="Fair | 0.80",0.8,IF(D28="Poor | 0.30",0.3,0)))))</x:f>
      </x:c>
      <x:c r="F28" s="59"/>
      <x:c r="G28" s="58" t="str">
        <x:f>IF(F28="","",IF(F28="Excellent | 2.00",2,IF(F28="Good | 1.60",1.6,IF(F28="Fair | 1.00",1,IF(F28="Poor | 0.40",0.4,0)))))</x:f>
      </x:c>
      <x:c r="H28" s="59"/>
      <x:c r="I28" s="58" t="str">
        <x:f>IF(H28="","",IF(H28="Excellent | 1.50",1.5,IF(H28="Good | 1.20",1.2,IF(H28="Fair | 0.80",0.8,IF(H28="Poor | 0.30",0.3,0)))))</x:f>
      </x:c>
      <x:c r="J28" s="59"/>
      <x:c r="K28" s="58" t="str">
        <x:f>IF(J28="","",IF(J28="Excellent | 5.00",5,IF(J28="Good | 4.00",4,IF(J28="Fair | 2.75",2.75,IF(J28="Poor | 1.25",1.25,0)))))</x:f>
      </x:c>
      <x:c r="L28" s="60" t="str">
        <x:f>IF(COUNTA(D28,F28,H28,J28)&lt;4,"",SUM(E28,G28,I28,K28))</x:f>
      </x:c>
      <x:c r="M28" s="61" t="str">
        <x:f>IF(L28="","",IF(L28&gt;=9,"Excellent",IF(L28&gt;=7.5,"Good",IF(L28&gt;=5.5,"Satisfactory",IF(L28&gt;=4,"Basic","Poor")))))</x:f>
      </x:c>
      <x:c r="N28" s="62" t="str"/>
    </x:row>
    <x:row r="29" ht="24" customHeight="1">
      <x:c r="A29" s="56" t="n">
        <x:v>25</x:v>
      </x:c>
      <x:c r="B29" s="56" t="str">
        <x:v>CE190280</x:v>
      </x:c>
      <x:c r="C29" s="56" t="str">
        <x:v>Huỳnh Phi Long</x:v>
      </x:c>
      <x:c r="D29" s="57"/>
      <x:c r="E29" s="58" t="str">
        <x:f>IF(D29="","",IF(D29="Excellent | 1.50",1.5,IF(D29="Good | 1.20",1.2,IF(D29="Fair | 0.80",0.8,IF(D29="Poor | 0.30",0.3,0)))))</x:f>
      </x:c>
      <x:c r="F29" s="59"/>
      <x:c r="G29" s="58" t="str">
        <x:f>IF(F29="","",IF(F29="Excellent | 2.00",2,IF(F29="Good | 1.60",1.6,IF(F29="Fair | 1.00",1,IF(F29="Poor | 0.40",0.4,0)))))</x:f>
      </x:c>
      <x:c r="H29" s="59"/>
      <x:c r="I29" s="58" t="str">
        <x:f>IF(H29="","",IF(H29="Excellent | 1.50",1.5,IF(H29="Good | 1.20",1.2,IF(H29="Fair | 0.80",0.8,IF(H29="Poor | 0.30",0.3,0)))))</x:f>
      </x:c>
      <x:c r="J29" s="59"/>
      <x:c r="K29" s="58" t="str">
        <x:f>IF(J29="","",IF(J29="Excellent | 5.00",5,IF(J29="Good | 4.00",4,IF(J29="Fair | 2.75",2.75,IF(J29="Poor | 1.25",1.25,0)))))</x:f>
      </x:c>
      <x:c r="L29" s="60" t="str">
        <x:f>IF(COUNTA(D29,F29,H29,J29)&lt;4,"",SUM(E29,G29,I29,K29))</x:f>
      </x:c>
      <x:c r="M29" s="61" t="str">
        <x:f>IF(L29="","",IF(L29&gt;=9,"Excellent",IF(L29&gt;=7.5,"Good",IF(L29&gt;=5.5,"Satisfactory",IF(L29&gt;=4,"Basic","Poor")))))</x:f>
      </x:c>
      <x:c r="N29" s="62" t="str"/>
    </x:row>
    <x:row r="30" ht="24" customHeight="1">
      <x:c r="A30" s="56" t="n">
        <x:v>26</x:v>
      </x:c>
      <x:c r="B30" s="56" t="str">
        <x:v>CE190460</x:v>
      </x:c>
      <x:c r="C30" s="56" t="str">
        <x:v>Võ Quốc An</x:v>
      </x:c>
      <x:c r="D30" s="57"/>
      <x:c r="E30" s="58" t="str">
        <x:f>IF(D30="","",IF(D30="Excellent | 1.50",1.5,IF(D30="Good | 1.20",1.2,IF(D30="Fair | 0.80",0.8,IF(D30="Poor | 0.30",0.3,0)))))</x:f>
      </x:c>
      <x:c r="F30" s="59"/>
      <x:c r="G30" s="58" t="str">
        <x:f>IF(F30="","",IF(F30="Excellent | 2.00",2,IF(F30="Good | 1.60",1.6,IF(F30="Fair | 1.00",1,IF(F30="Poor | 0.40",0.4,0)))))</x:f>
      </x:c>
      <x:c r="H30" s="59"/>
      <x:c r="I30" s="58" t="str">
        <x:f>IF(H30="","",IF(H30="Excellent | 1.50",1.5,IF(H30="Good | 1.20",1.2,IF(H30="Fair | 0.80",0.8,IF(H30="Poor | 0.30",0.3,0)))))</x:f>
      </x:c>
      <x:c r="J30" s="59"/>
      <x:c r="K30" s="58" t="str">
        <x:f>IF(J30="","",IF(J30="Excellent | 5.00",5,IF(J30="Good | 4.00",4,IF(J30="Fair | 2.75",2.75,IF(J30="Poor | 1.25",1.25,0)))))</x:f>
      </x:c>
      <x:c r="L30" s="60" t="str">
        <x:f>IF(COUNTA(D30,F30,H30,J30)&lt;4,"",SUM(E30,G30,I30,K30))</x:f>
      </x:c>
      <x:c r="M30" s="61" t="str">
        <x:f>IF(L30="","",IF(L30&gt;=9,"Excellent",IF(L30&gt;=7.5,"Good",IF(L30&gt;=5.5,"Satisfactory",IF(L30&gt;=4,"Basic","Poor")))))</x:f>
      </x:c>
      <x:c r="N30" s="62" t="str"/>
    </x:row>
    <x:row r="31" ht="24" customHeight="1">
      <x:c r="A31" s="56" t="n">
        <x:v>27</x:v>
      </x:c>
      <x:c r="B31" s="56" t="str">
        <x:v>CE190721</x:v>
      </x:c>
      <x:c r="C31" s="56" t="str">
        <x:v>Nguyễn Thành Huy</x:v>
      </x:c>
      <x:c r="D31" s="57"/>
      <x:c r="E31" s="58" t="str">
        <x:f>IF(D31="","",IF(D31="Excellent | 1.50",1.5,IF(D31="Good | 1.20",1.2,IF(D31="Fair | 0.80",0.8,IF(D31="Poor | 0.30",0.3,0)))))</x:f>
      </x:c>
      <x:c r="F31" s="59"/>
      <x:c r="G31" s="58" t="str">
        <x:f>IF(F31="","",IF(F31="Excellent | 2.00",2,IF(F31="Good | 1.60",1.6,IF(F31="Fair | 1.00",1,IF(F31="Poor | 0.40",0.4,0)))))</x:f>
      </x:c>
      <x:c r="H31" s="59"/>
      <x:c r="I31" s="58" t="str">
        <x:f>IF(H31="","",IF(H31="Excellent | 1.50",1.5,IF(H31="Good | 1.20",1.2,IF(H31="Fair | 0.80",0.8,IF(H31="Poor | 0.30",0.3,0)))))</x:f>
      </x:c>
      <x:c r="J31" s="59"/>
      <x:c r="K31" s="58" t="str">
        <x:f>IF(J31="","",IF(J31="Excellent | 5.00",5,IF(J31="Good | 4.00",4,IF(J31="Fair | 2.75",2.75,IF(J31="Poor | 1.25",1.25,0)))))</x:f>
      </x:c>
      <x:c r="L31" s="60" t="str">
        <x:f>IF(COUNTA(D31,F31,H31,J31)&lt;4,"",SUM(E31,G31,I31,K31))</x:f>
      </x:c>
      <x:c r="M31" s="61" t="str">
        <x:f>IF(L31="","",IF(L31&gt;=9,"Excellent",IF(L31&gt;=7.5,"Good",IF(L31&gt;=5.5,"Satisfactory",IF(L31&gt;=4,"Basic","Poor")))))</x:f>
      </x:c>
      <x:c r="N31" s="62" t="str"/>
    </x:row>
    <x:row r="32" ht="24" customHeight="1">
      <x:c r="A32" s="56" t="n">
        <x:v>28</x:v>
      </x:c>
      <x:c r="B32" s="56" t="str">
        <x:v>CE191099</x:v>
      </x:c>
      <x:c r="C32" s="56" t="str">
        <x:v>Lư Hữu Luân</x:v>
      </x:c>
      <x:c r="D32" s="57"/>
      <x:c r="E32" s="58" t="str">
        <x:f>IF(D32="","",IF(D32="Excellent | 1.50",1.5,IF(D32="Good | 1.20",1.2,IF(D32="Fair | 0.80",0.8,IF(D32="Poor | 0.30",0.3,0)))))</x:f>
      </x:c>
      <x:c r="F32" s="59"/>
      <x:c r="G32" s="58" t="str">
        <x:f>IF(F32="","",IF(F32="Excellent | 2.00",2,IF(F32="Good | 1.60",1.6,IF(F32="Fair | 1.00",1,IF(F32="Poor | 0.40",0.4,0)))))</x:f>
      </x:c>
      <x:c r="H32" s="59"/>
      <x:c r="I32" s="58" t="str">
        <x:f>IF(H32="","",IF(H32="Excellent | 1.50",1.5,IF(H32="Good | 1.20",1.2,IF(H32="Fair | 0.80",0.8,IF(H32="Poor | 0.30",0.3,0)))))</x:f>
      </x:c>
      <x:c r="J32" s="59"/>
      <x:c r="K32" s="58" t="str">
        <x:f>IF(J32="","",IF(J32="Excellent | 5.00",5,IF(J32="Good | 4.00",4,IF(J32="Fair | 2.75",2.75,IF(J32="Poor | 1.25",1.25,0)))))</x:f>
      </x:c>
      <x:c r="L32" s="60" t="str">
        <x:f>IF(COUNTA(D32,F32,H32,J32)&lt;4,"",SUM(E32,G32,I32,K32))</x:f>
      </x:c>
      <x:c r="M32" s="61" t="str">
        <x:f>IF(L32="","",IF(L32&gt;=9,"Excellent",IF(L32&gt;=7.5,"Good",IF(L32&gt;=5.5,"Satisfactory",IF(L32&gt;=4,"Basic","Poor")))))</x:f>
      </x:c>
      <x:c r="N32" s="62" t="str"/>
    </x:row>
    <x:row r="33" ht="24" customHeight="1">
      <x:c r="A33" s="56" t="n">
        <x:v>29</x:v>
      </x:c>
      <x:c r="B33" s="56" t="str">
        <x:v>CE200376</x:v>
      </x:c>
      <x:c r="C33" s="56" t="str">
        <x:v>Lê Nhựt Huy</x:v>
      </x:c>
      <x:c r="D33" s="57"/>
      <x:c r="E33" s="58" t="str">
        <x:f>IF(D33="","",IF(D33="Excellent | 1.50",1.5,IF(D33="Good | 1.20",1.2,IF(D33="Fair | 0.80",0.8,IF(D33="Poor | 0.30",0.3,0)))))</x:f>
      </x:c>
      <x:c r="F33" s="59"/>
      <x:c r="G33" s="58" t="str">
        <x:f>IF(F33="","",IF(F33="Excellent | 2.00",2,IF(F33="Good | 1.60",1.6,IF(F33="Fair | 1.00",1,IF(F33="Poor | 0.40",0.4,0)))))</x:f>
      </x:c>
      <x:c r="H33" s="59"/>
      <x:c r="I33" s="58" t="str">
        <x:f>IF(H33="","",IF(H33="Excellent | 1.50",1.5,IF(H33="Good | 1.20",1.2,IF(H33="Fair | 0.80",0.8,IF(H33="Poor | 0.30",0.3,0)))))</x:f>
      </x:c>
      <x:c r="J33" s="59"/>
      <x:c r="K33" s="58" t="str">
        <x:f>IF(J33="","",IF(J33="Excellent | 5.00",5,IF(J33="Good | 4.00",4,IF(J33="Fair | 2.75",2.75,IF(J33="Poor | 1.25",1.25,0)))))</x:f>
      </x:c>
      <x:c r="L33" s="60" t="str">
        <x:f>IF(COUNTA(D33,F33,H33,J33)&lt;4,"",SUM(E33,G33,I33,K33))</x:f>
      </x:c>
      <x:c r="M33" s="61" t="str">
        <x:f>IF(L33="","",IF(L33&gt;=9,"Excellent",IF(L33&gt;=7.5,"Good",IF(L33&gt;=5.5,"Satisfactory",IF(L33&gt;=4,"Basic","Poor")))))</x:f>
      </x:c>
      <x:c r="N33" s="62" t="str"/>
    </x:row>
    <x:row r="34" ht="24" customHeight="1">
      <x:c r="A34" s="56" t="n">
        <x:v>30</x:v>
      </x:c>
      <x:c r="B34" s="56" t="str">
        <x:v>CE190153</x:v>
      </x:c>
      <x:c r="C34" s="56" t="str">
        <x:v>Lâm Trí Thông</x:v>
      </x:c>
      <x:c r="D34" s="57"/>
      <x:c r="E34" s="58" t="str">
        <x:f>IF(D34="","",IF(D34="Excellent | 1.50",1.5,IF(D34="Good | 1.20",1.2,IF(D34="Fair | 0.80",0.8,IF(D34="Poor | 0.30",0.3,0)))))</x:f>
      </x:c>
      <x:c r="F34" s="59"/>
      <x:c r="G34" s="58" t="str">
        <x:f>IF(F34="","",IF(F34="Excellent | 2.00",2,IF(F34="Good | 1.60",1.6,IF(F34="Fair | 1.00",1,IF(F34="Poor | 0.40",0.4,0)))))</x:f>
      </x:c>
      <x:c r="H34" s="59"/>
      <x:c r="I34" s="58" t="str">
        <x:f>IF(H34="","",IF(H34="Excellent | 1.50",1.5,IF(H34="Good | 1.20",1.2,IF(H34="Fair | 0.80",0.8,IF(H34="Poor | 0.30",0.3,0)))))</x:f>
      </x:c>
      <x:c r="J34" s="59"/>
      <x:c r="K34" s="58" t="str">
        <x:f>IF(J34="","",IF(J34="Excellent | 5.00",5,IF(J34="Good | 4.00",4,IF(J34="Fair | 2.75",2.75,IF(J34="Poor | 1.25",1.25,0)))))</x:f>
      </x:c>
      <x:c r="L34" s="60" t="str">
        <x:f>IF(COUNTA(D34,F34,H34,J34)&lt;4,"",SUM(E34,G34,I34,K34))</x:f>
      </x:c>
      <x:c r="M34" s="61" t="str">
        <x:f>IF(L34="","",IF(L34&gt;=9,"Excellent",IF(L34&gt;=7.5,"Good",IF(L34&gt;=5.5,"Satisfactory",IF(L34&gt;=4,"Basic","Poor")))))</x:f>
      </x:c>
      <x:c r="N34" s="62" t="str"/>
    </x:row>
    <x:row r="35" ht="24" customHeight="1">
      <x:c r="A35" s="56" t="n">
        <x:v>31</x:v>
      </x:c>
      <x:c r="B35" s="56" t="str">
        <x:v>CE190157</x:v>
      </x:c>
      <x:c r="C35" s="56" t="str">
        <x:v>Trần Thế Phong</x:v>
      </x:c>
      <x:c r="D35" s="57"/>
      <x:c r="E35" s="58" t="str">
        <x:f>IF(D35="","",IF(D35="Excellent | 1.50",1.5,IF(D35="Good | 1.20",1.2,IF(D35="Fair | 0.80",0.8,IF(D35="Poor | 0.30",0.3,0)))))</x:f>
      </x:c>
      <x:c r="F35" s="59"/>
      <x:c r="G35" s="58" t="str">
        <x:f>IF(F35="","",IF(F35="Excellent | 2.00",2,IF(F35="Good | 1.60",1.6,IF(F35="Fair | 1.00",1,IF(F35="Poor | 0.40",0.4,0)))))</x:f>
      </x:c>
      <x:c r="H35" s="59"/>
      <x:c r="I35" s="58" t="str">
        <x:f>IF(H35="","",IF(H35="Excellent | 1.50",1.5,IF(H35="Good | 1.20",1.2,IF(H35="Fair | 0.80",0.8,IF(H35="Poor | 0.30",0.3,0)))))</x:f>
      </x:c>
      <x:c r="J35" s="59"/>
      <x:c r="K35" s="58" t="str">
        <x:f>IF(J35="","",IF(J35="Excellent | 5.00",5,IF(J35="Good | 4.00",4,IF(J35="Fair | 2.75",2.75,IF(J35="Poor | 1.25",1.25,0)))))</x:f>
      </x:c>
      <x:c r="L35" s="60" t="str">
        <x:f>IF(COUNTA(D35,F35,H35,J35)&lt;4,"",SUM(E35,G35,I35,K35))</x:f>
      </x:c>
      <x:c r="M35" s="61" t="str">
        <x:f>IF(L35="","",IF(L35&gt;=9,"Excellent",IF(L35&gt;=7.5,"Good",IF(L35&gt;=5.5,"Satisfactory",IF(L35&gt;=4,"Basic","Poor")))))</x:f>
      </x:c>
      <x:c r="N35" s="62" t="str"/>
    </x:row>
    <x:row r="36" ht="24" customHeight="1">
      <x:c r="A36" s="56" t="n">
        <x:v>32</x:v>
      </x:c>
      <x:c r="B36" s="56" t="str">
        <x:v>CE190982</x:v>
      </x:c>
      <x:c r="C36" s="56" t="str">
        <x:v>Trần Nhật Duy</x:v>
      </x:c>
      <x:c r="D36" s="57"/>
      <x:c r="E36" s="58" t="str">
        <x:f>IF(D36="","",IF(D36="Excellent | 1.50",1.5,IF(D36="Good | 1.20",1.2,IF(D36="Fair | 0.80",0.8,IF(D36="Poor | 0.30",0.3,0)))))</x:f>
      </x:c>
      <x:c r="F36" s="59"/>
      <x:c r="G36" s="58" t="str">
        <x:f>IF(F36="","",IF(F36="Excellent | 2.00",2,IF(F36="Good | 1.60",1.6,IF(F36="Fair | 1.00",1,IF(F36="Poor | 0.40",0.4,0)))))</x:f>
      </x:c>
      <x:c r="H36" s="59"/>
      <x:c r="I36" s="58" t="str">
        <x:f>IF(H36="","",IF(H36="Excellent | 1.50",1.5,IF(H36="Good | 1.20",1.2,IF(H36="Fair | 0.80",0.8,IF(H36="Poor | 0.30",0.3,0)))))</x:f>
      </x:c>
      <x:c r="J36" s="59"/>
      <x:c r="K36" s="58" t="str">
        <x:f>IF(J36="","",IF(J36="Excellent | 5.00",5,IF(J36="Good | 4.00",4,IF(J36="Fair | 2.75",2.75,IF(J36="Poor | 1.25",1.25,0)))))</x:f>
      </x:c>
      <x:c r="L36" s="60" t="str">
        <x:f>IF(COUNTA(D36,F36,H36,J36)&lt;4,"",SUM(E36,G36,I36,K36))</x:f>
      </x:c>
      <x:c r="M36" s="61" t="str">
        <x:f>IF(L36="","",IF(L36&gt;=9,"Excellent",IF(L36&gt;=7.5,"Good",IF(L36&gt;=5.5,"Satisfactory",IF(L36&gt;=4,"Basic","Poor")))))</x:f>
      </x:c>
      <x:c r="N36" s="62" t="str"/>
    </x:row>
    <x:row r="37" ht="24" customHeight="1">
      <x:c r="A37" s="56" t="n">
        <x:v>33</x:v>
      </x:c>
      <x:c r="B37" s="56" t="str">
        <x:v>CE191383</x:v>
      </x:c>
      <x:c r="C37" s="56" t="str">
        <x:v>Lâm Hoàng Khang</x:v>
      </x:c>
      <x:c r="D37" s="57"/>
      <x:c r="E37" s="58" t="str">
        <x:f>IF(D37="","",IF(D37="Excellent | 1.50",1.5,IF(D37="Good | 1.20",1.2,IF(D37="Fair | 0.80",0.8,IF(D37="Poor | 0.30",0.3,0)))))</x:f>
      </x:c>
      <x:c r="F37" s="59"/>
      <x:c r="G37" s="58" t="str">
        <x:f>IF(F37="","",IF(F37="Excellent | 2.00",2,IF(F37="Good | 1.60",1.6,IF(F37="Fair | 1.00",1,IF(F37="Poor | 0.40",0.4,0)))))</x:f>
      </x:c>
      <x:c r="H37" s="59"/>
      <x:c r="I37" s="58" t="str">
        <x:f>IF(H37="","",IF(H37="Excellent | 1.50",1.5,IF(H37="Good | 1.20",1.2,IF(H37="Fair | 0.80",0.8,IF(H37="Poor | 0.30",0.3,0)))))</x:f>
      </x:c>
      <x:c r="J37" s="59"/>
      <x:c r="K37" s="58" t="str">
        <x:f>IF(J37="","",IF(J37="Excellent | 5.00",5,IF(J37="Good | 4.00",4,IF(J37="Fair | 2.75",2.75,IF(J37="Poor | 1.25",1.25,0)))))</x:f>
      </x:c>
      <x:c r="L37" s="60" t="str">
        <x:f>IF(COUNTA(D37,F37,H37,J37)&lt;4,"",SUM(E37,G37,I37,K37))</x:f>
      </x:c>
      <x:c r="M37" s="61" t="str">
        <x:f>IF(L37="","",IF(L37&gt;=9,"Excellent",IF(L37&gt;=7.5,"Good",IF(L37&gt;=5.5,"Satisfactory",IF(L37&gt;=4,"Basic","Poor")))))</x:f>
      </x:c>
      <x:c r="N37" s="62" t="str"/>
    </x:row>
    <x:row r="38" ht="24" customHeight="1">
      <x:c r="A38" s="56" t="n">
        <x:v>34</x:v>
      </x:c>
      <x:c r="B38" s="56" t="str">
        <x:v>CE200667</x:v>
      </x:c>
      <x:c r="C38" s="56" t="str">
        <x:v>Đào Lê Hoàng Duy</x:v>
      </x:c>
      <x:c r="D38" s="57"/>
      <x:c r="E38" s="58" t="str">
        <x:f>IF(D38="","",IF(D38="Excellent | 1.50",1.5,IF(D38="Good | 1.20",1.2,IF(D38="Fair | 0.80",0.8,IF(D38="Poor | 0.30",0.3,0)))))</x:f>
      </x:c>
      <x:c r="F38" s="59"/>
      <x:c r="G38" s="58" t="str">
        <x:f>IF(F38="","",IF(F38="Excellent | 2.00",2,IF(F38="Good | 1.60",1.6,IF(F38="Fair | 1.00",1,IF(F38="Poor | 0.40",0.4,0)))))</x:f>
      </x:c>
      <x:c r="H38" s="59"/>
      <x:c r="I38" s="58" t="str">
        <x:f>IF(H38="","",IF(H38="Excellent | 1.50",1.5,IF(H38="Good | 1.20",1.2,IF(H38="Fair | 0.80",0.8,IF(H38="Poor | 0.30",0.3,0)))))</x:f>
      </x:c>
      <x:c r="J38" s="59"/>
      <x:c r="K38" s="58" t="str">
        <x:f>IF(J38="","",IF(J38="Excellent | 5.00",5,IF(J38="Good | 4.00",4,IF(J38="Fair | 2.75",2.75,IF(J38="Poor | 1.25",1.25,0)))))</x:f>
      </x:c>
      <x:c r="L38" s="60" t="str">
        <x:f>IF(COUNTA(D38,F38,H38,J38)&lt;4,"",SUM(E38,G38,I38,K38))</x:f>
      </x:c>
      <x:c r="M38" s="61" t="str">
        <x:f>IF(L38="","",IF(L38&gt;=9,"Excellent",IF(L38&gt;=7.5,"Good",IF(L38&gt;=5.5,"Satisfactory",IF(L38&gt;=4,"Basic","Poor")))))</x:f>
      </x:c>
      <x:c r="N38" s="62" t="str"/>
    </x:row>
    <x:row r="39" ht="24" customHeight="1">
      <x:c r="A39" s="56" t="n">
        <x:v>35</x:v>
      </x:c>
      <x:c r="B39" s="56" t="str">
        <x:v>CE181666</x:v>
      </x:c>
      <x:c r="C39" s="56" t="str">
        <x:v>Huỳnh Tuấn Kiệt</x:v>
      </x:c>
      <x:c r="D39" s="57"/>
      <x:c r="E39" s="58" t="str">
        <x:f>IF(D39="","",IF(D39="Excellent | 1.50",1.5,IF(D39="Good | 1.20",1.2,IF(D39="Fair | 0.80",0.8,IF(D39="Poor | 0.30",0.3,0)))))</x:f>
      </x:c>
      <x:c r="F39" s="59"/>
      <x:c r="G39" s="58" t="str">
        <x:f>IF(F39="","",IF(F39="Excellent | 2.00",2,IF(F39="Good | 1.60",1.6,IF(F39="Fair | 1.00",1,IF(F39="Poor | 0.40",0.4,0)))))</x:f>
      </x:c>
      <x:c r="H39" s="59"/>
      <x:c r="I39" s="58" t="str">
        <x:f>IF(H39="","",IF(H39="Excellent | 1.50",1.5,IF(H39="Good | 1.20",1.2,IF(H39="Fair | 0.80",0.8,IF(H39="Poor | 0.30",0.3,0)))))</x:f>
      </x:c>
      <x:c r="J39" s="59"/>
      <x:c r="K39" s="58" t="str">
        <x:f>IF(J39="","",IF(J39="Excellent | 5.00",5,IF(J39="Good | 4.00",4,IF(J39="Fair | 2.75",2.75,IF(J39="Poor | 1.25",1.25,0)))))</x:f>
      </x:c>
      <x:c r="L39" s="60" t="str">
        <x:f>IF(COUNTA(D39,F39,H39,J39)&lt;4,"",SUM(E39,G39,I39,K39))</x:f>
      </x:c>
      <x:c r="M39" s="61" t="str">
        <x:f>IF(L39="","",IF(L39&gt;=9,"Excellent",IF(L39&gt;=7.5,"Good",IF(L39&gt;=5.5,"Satisfactory",IF(L39&gt;=4,"Basic","Poor")))))</x:f>
      </x:c>
      <x:c r="N39" s="62" t="str"/>
    </x:row>
    <x:row r="40" ht="24" customHeight="1">
      <x:c r="A40" s="56" t="n">
        <x:v>36</x:v>
      </x:c>
      <x:c r="B40" s="56" t="str">
        <x:v>CE190084</x:v>
      </x:c>
      <x:c r="C40" s="56" t="str">
        <x:v>Trần Đoàn Thanh Tài</x:v>
      </x:c>
      <x:c r="D40" s="57"/>
      <x:c r="E40" s="58" t="str">
        <x:f>IF(D40="","",IF(D40="Excellent | 1.50",1.5,IF(D40="Good | 1.20",1.2,IF(D40="Fair | 0.80",0.8,IF(D40="Poor | 0.30",0.3,0)))))</x:f>
      </x:c>
      <x:c r="F40" s="59"/>
      <x:c r="G40" s="58" t="str">
        <x:f>IF(F40="","",IF(F40="Excellent | 2.00",2,IF(F40="Good | 1.60",1.6,IF(F40="Fair | 1.00",1,IF(F40="Poor | 0.40",0.4,0)))))</x:f>
      </x:c>
      <x:c r="H40" s="59"/>
      <x:c r="I40" s="58" t="str">
        <x:f>IF(H40="","",IF(H40="Excellent | 1.50",1.5,IF(H40="Good | 1.20",1.2,IF(H40="Fair | 0.80",0.8,IF(H40="Poor | 0.30",0.3,0)))))</x:f>
      </x:c>
      <x:c r="J40" s="59"/>
      <x:c r="K40" s="58" t="str">
        <x:f>IF(J40="","",IF(J40="Excellent | 5.00",5,IF(J40="Good | 4.00",4,IF(J40="Fair | 2.75",2.75,IF(J40="Poor | 1.25",1.25,0)))))</x:f>
      </x:c>
      <x:c r="L40" s="60" t="str">
        <x:f>IF(COUNTA(D40,F40,H40,J40)&lt;4,"",SUM(E40,G40,I40,K40))</x:f>
      </x:c>
      <x:c r="M40" s="61" t="str">
        <x:f>IF(L40="","",IF(L40&gt;=9,"Excellent",IF(L40&gt;=7.5,"Good",IF(L40&gt;=5.5,"Satisfactory",IF(L40&gt;=4,"Basic","Poor")))))</x:f>
      </x:c>
      <x:c r="N40" s="62" t="str"/>
    </x:row>
    <x:row r="41" ht="24" customHeight="1">
      <x:c r="A41" s="56" t="n">
        <x:v>37</x:v>
      </x:c>
      <x:c r="B41" s="56" t="str">
        <x:v>CE190117</x:v>
      </x:c>
      <x:c r="C41" s="56" t="str">
        <x:v>Trần Văn Đạt</x:v>
      </x:c>
      <x:c r="D41" s="57"/>
      <x:c r="E41" s="58" t="str">
        <x:f>IF(D41="","",IF(D41="Excellent | 1.50",1.5,IF(D41="Good | 1.20",1.2,IF(D41="Fair | 0.80",0.8,IF(D41="Poor | 0.30",0.3,0)))))</x:f>
      </x:c>
      <x:c r="F41" s="59"/>
      <x:c r="G41" s="58" t="str">
        <x:f>IF(F41="","",IF(F41="Excellent | 2.00",2,IF(F41="Good | 1.60",1.6,IF(F41="Fair | 1.00",1,IF(F41="Poor | 0.40",0.4,0)))))</x:f>
      </x:c>
      <x:c r="H41" s="59"/>
      <x:c r="I41" s="58" t="str">
        <x:f>IF(H41="","",IF(H41="Excellent | 1.50",1.5,IF(H41="Good | 1.20",1.2,IF(H41="Fair | 0.80",0.8,IF(H41="Poor | 0.30",0.3,0)))))</x:f>
      </x:c>
      <x:c r="J41" s="59"/>
      <x:c r="K41" s="58" t="str">
        <x:f>IF(J41="","",IF(J41="Excellent | 5.00",5,IF(J41="Good | 4.00",4,IF(J41="Fair | 2.75",2.75,IF(J41="Poor | 1.25",1.25,0)))))</x:f>
      </x:c>
      <x:c r="L41" s="60" t="str">
        <x:f>IF(COUNTA(D41,F41,H41,J41)&lt;4,"",SUM(E41,G41,I41,K41))</x:f>
      </x:c>
      <x:c r="M41" s="61" t="str">
        <x:f>IF(L41="","",IF(L41&gt;=9,"Excellent",IF(L41&gt;=7.5,"Good",IF(L41&gt;=5.5,"Satisfactory",IF(L41&gt;=4,"Basic","Poor")))))</x:f>
      </x:c>
      <x:c r="N41" s="62" t="str"/>
    </x:row>
    <x:row r="42" ht="24" customHeight="1">
      <x:c r="A42" s="56" t="n">
        <x:v>38</x:v>
      </x:c>
      <x:c r="B42" s="56" t="str">
        <x:v>CE190182</x:v>
      </x:c>
      <x:c r="C42" s="56" t="str">
        <x:v>Võ Thành Vương</x:v>
      </x:c>
      <x:c r="D42" s="57"/>
      <x:c r="E42" s="58" t="str">
        <x:f>IF(D42="","",IF(D42="Excellent | 1.50",1.5,IF(D42="Good | 1.20",1.2,IF(D42="Fair | 0.80",0.8,IF(D42="Poor | 0.30",0.3,0)))))</x:f>
      </x:c>
      <x:c r="F42" s="59"/>
      <x:c r="G42" s="58" t="str">
        <x:f>IF(F42="","",IF(F42="Excellent | 2.00",2,IF(F42="Good | 1.60",1.6,IF(F42="Fair | 1.00",1,IF(F42="Poor | 0.40",0.4,0)))))</x:f>
      </x:c>
      <x:c r="H42" s="59"/>
      <x:c r="I42" s="58" t="str">
        <x:f>IF(H42="","",IF(H42="Excellent | 1.50",1.5,IF(H42="Good | 1.20",1.2,IF(H42="Fair | 0.80",0.8,IF(H42="Poor | 0.30",0.3,0)))))</x:f>
      </x:c>
      <x:c r="J42" s="59"/>
      <x:c r="K42" s="58" t="str">
        <x:f>IF(J42="","",IF(J42="Excellent | 5.00",5,IF(J42="Good | 4.00",4,IF(J42="Fair | 2.75",2.75,IF(J42="Poor | 1.25",1.25,0)))))</x:f>
      </x:c>
      <x:c r="L42" s="60" t="str">
        <x:f>IF(COUNTA(D42,F42,H42,J42)&lt;4,"",SUM(E42,G42,I42,K42))</x:f>
      </x:c>
      <x:c r="M42" s="61" t="str">
        <x:f>IF(L42="","",IF(L42&gt;=9,"Excellent",IF(L42&gt;=7.5,"Good",IF(L42&gt;=5.5,"Satisfactory",IF(L42&gt;=4,"Basic","Poor")))))</x:f>
      </x:c>
      <x:c r="N42" s="62" t="str"/>
    </x:row>
    <x:row r="43" ht="24" customHeight="1">
      <x:c r="A43" s="56" t="n">
        <x:v>39</x:v>
      </x:c>
      <x:c r="B43" s="56" t="str">
        <x:v>CE191123</x:v>
      </x:c>
      <x:c r="C43" s="56" t="str">
        <x:v>Phạm Huỳnh Tấn An</x:v>
      </x:c>
      <x:c r="D43" s="57"/>
      <x:c r="E43" s="58" t="str">
        <x:f>IF(D43="","",IF(D43="Excellent | 1.50",1.5,IF(D43="Good | 1.20",1.2,IF(D43="Fair | 0.80",0.8,IF(D43="Poor | 0.30",0.3,0)))))</x:f>
      </x:c>
      <x:c r="F43" s="59"/>
      <x:c r="G43" s="58" t="str">
        <x:f>IF(F43="","",IF(F43="Excellent | 2.00",2,IF(F43="Good | 1.60",1.6,IF(F43="Fair | 1.00",1,IF(F43="Poor | 0.40",0.4,0)))))</x:f>
      </x:c>
      <x:c r="H43" s="59"/>
      <x:c r="I43" s="58" t="str">
        <x:f>IF(H43="","",IF(H43="Excellent | 1.50",1.5,IF(H43="Good | 1.20",1.2,IF(H43="Fair | 0.80",0.8,IF(H43="Poor | 0.30",0.3,0)))))</x:f>
      </x:c>
      <x:c r="J43" s="59"/>
      <x:c r="K43" s="58" t="str">
        <x:f>IF(J43="","",IF(J43="Excellent | 5.00",5,IF(J43="Good | 4.00",4,IF(J43="Fair | 2.75",2.75,IF(J43="Poor | 1.25",1.25,0)))))</x:f>
      </x:c>
      <x:c r="L43" s="60" t="str">
        <x:f>IF(COUNTA(D43,F43,H43,J43)&lt;4,"",SUM(E43,G43,I43,K43))</x:f>
      </x:c>
      <x:c r="M43" s="61" t="str">
        <x:f>IF(L43="","",IF(L43&gt;=9,"Excellent",IF(L43&gt;=7.5,"Good",IF(L43&gt;=5.5,"Satisfactory",IF(L43&gt;=4,"Basic","Poor")))))</x:f>
      </x:c>
      <x:c r="N43" s="62" t="str"/>
    </x:row>
    <x:row r="45">
      <x:c r="A45" s="71" t="str">
        <x:v>CLASS SUMMARY</x:v>
      </x:c>
    </x:row>
    <x:row r="46">
      <x:c r="A46" s="75" t="str">
        <x:v>Metric</x:v>
      </x:c>
      <x:c r="B46" s="75" t="str">
        <x:v>Value</x:v>
      </x:c>
      <x:c r="C46" s="75" t="str"/>
      <x:c r="D46" s="75" t="str">
        <x:v>Band</x:v>
      </x:c>
      <x:c r="E46" s="75" t="str">
        <x:v>Count</x:v>
      </x:c>
      <x:c r="F46" s="75" t="str"/>
      <x:c r="G46" s="75" t="str"/>
      <x:c r="H46" s="75" t="str"/>
    </x:row>
    <x:row r="47">
      <x:c r="A47" t="str">
        <x:v>Students</x:v>
      </x:c>
      <x:c r="B47" t="n">
        <x:v>39</x:v>
      </x:c>
      <x:c r="C47" t="str"/>
      <x:c r="D47" t="str">
        <x:v>Excellent</x:v>
      </x:c>
      <x:c r="E47" t="n">
        <x:f>COUNTIF(M5:M43,"Excellent")</x:f>
        <x:v>0</x:v>
      </x:c>
      <x:c r="F47" t="str"/>
      <x:c r="G47" t="str"/>
      <x:c r="H47" t="str"/>
    </x:row>
    <x:row r="48">
      <x:c r="A48" t="str">
        <x:v>Average</x:v>
      </x:c>
      <x:c r="B48" s="28" t="n">
        <x:f>IFERROR(AVERAGE(L5:L43),0)</x:f>
        <x:v>0</x:v>
      </x:c>
      <x:c r="C48" t="str"/>
      <x:c r="D48" t="str">
        <x:v>Good</x:v>
      </x:c>
      <x:c r="E48" t="n">
        <x:f>COUNTIF(M5:M43,"Good")</x:f>
        <x:v>0</x:v>
      </x:c>
      <x:c r="F48" t="str"/>
      <x:c r="G48" t="str"/>
      <x:c r="H48" t="str"/>
    </x:row>
    <x:row r="49">
      <x:c r="A49" t="str">
        <x:v>Highest</x:v>
      </x:c>
      <x:c r="B49" s="28" t="n">
        <x:f>IFERROR(MAX(L5:L43),0)</x:f>
        <x:v>0</x:v>
      </x:c>
      <x:c r="C49" t="str"/>
      <x:c r="D49" t="str">
        <x:v>Satisfactory</x:v>
      </x:c>
      <x:c r="E49" t="n">
        <x:f>COUNTIF(M5:M43,"Satisfactory")</x:f>
        <x:v>0</x:v>
      </x:c>
      <x:c r="F49" t="str"/>
      <x:c r="G49" t="str"/>
      <x:c r="H49" t="str"/>
    </x:row>
    <x:row r="50">
      <x:c r="A50" t="str">
        <x:v>Lowest</x:v>
      </x:c>
      <x:c r="B50" s="28" t="n">
        <x:f>IFERROR(MIN(L5:L43),0)</x:f>
        <x:v>0</x:v>
      </x:c>
      <x:c r="C50" t="str"/>
      <x:c r="D50" t="str">
        <x:v>Basic / Poor</x:v>
      </x:c>
      <x:c r="E50" t="n">
        <x:f>COUNTIF(M5:M43,"Basic")+COUNTIF(M5:M43,"Poor")</x:f>
        <x:v>0</x:v>
      </x:c>
      <x:c r="F50" t="str"/>
      <x:c r="G50" t="str"/>
      <x:c r="H50" t="str"/>
    </x:row>
  </x:sheetData>
  <x:mergeCells>
    <x:mergeCell ref="A1:N1"/>
    <x:mergeCell ref="A2:N2"/>
    <x:mergeCell ref="A45:H45"/>
  </x:mergeCells>
  <x:conditionalFormatting sqref="E5:E43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G5:G43">
    <x:cfRule type="colorScale" priority="2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I5:I43">
    <x:cfRule type="colorScale" priority="3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K5:K43">
    <x:cfRule type="colorScale" priority="4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L5:L43">
    <x:cfRule type="colorScale" priority="5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dataValidations count="4">
    <x:dataValidation type="list" sqref="D5:D43">
      <x:formula1>"Excellent | 1.50,Good | 1.20,Fair | 0.80,Poor | 0.30,Not demonstrated | 0.00"</x:formula1>
    </x:dataValidation>
    <x:dataValidation type="list" sqref="F5:F43">
      <x:formula1>"Excellent | 2.00,Good | 1.60,Fair | 1.00,Poor | 0.40,Not demonstrated | 0.00"</x:formula1>
    </x:dataValidation>
    <x:dataValidation type="list" sqref="H5:H43">
      <x:formula1>"Excellent | 1.50,Good | 1.20,Fair | 0.80,Poor | 0.30,Not demonstrated | 0.00"</x:formula1>
    </x:dataValidation>
    <x:dataValidation type="list" sqref="J5:J43">
      <x:formula1>"Excellent | 5.00,Good | 4.00,Fair | 2.75,Poor | 1.25,Not demonstrated | 0.00"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8" hidden="0" customWidth="1"/>
    <x:col min="3" max="3" width="18" hidden="0" customWidth="1"/>
    <x:col min="4" max="4" width="10" hidden="0" customWidth="1"/>
    <x:col min="5" max="5" width="78" hidden="0" customWidth="1"/>
  </x:cols>
  <x:sheetData>
    <x:row r="1" ht="26" customHeight="1">
      <x:c r="A1" s="79" t="str">
        <x:v>SBA301 – GENERAL ASSIGNMENT INTERVIEW RUBRIC</x:v>
      </x:c>
    </x:row>
    <x:row r="2">
      <x:c r="A2" s="13" t="str">
        <x:v>This rubric is used for individual Assignments. Live code modification is optional when the interview already provides sufficient evidence of understanding.</x:v>
      </x:c>
    </x:row>
    <x:row r="4">
      <x:c r="A4" s="21" t="str">
        <x:v>Criterion</x:v>
      </x:c>
      <x:c r="B4" s="21" t="str">
        <x:v>Max</x:v>
      </x:c>
      <x:c r="C4" s="21" t="str">
        <x:v>Level</x:v>
      </x:c>
      <x:c r="D4" s="21" t="str">
        <x:v>Score</x:v>
      </x:c>
      <x:c r="E4" s="21" t="str">
        <x:v>Observable Evidence</x:v>
      </x:c>
    </x:row>
    <x:row r="5">
      <x:c r="A5" s="88" t="str">
        <x:v>C1 – Problem Understanding &amp; Solution Approach</x:v>
      </x:c>
      <x:c r="B5" s="89" t="n">
        <x:v>1.5</x:v>
      </x:c>
      <x:c r="C5" s="89" t="str">
        <x:v>Excellent</x:v>
      </x:c>
      <x:c r="D5" s="89" t="n">
        <x:v>1.5</x:v>
      </x:c>
      <x:c r="E5" s="88" t="str">
        <x:v>Clearly understands the problem, requirements, constraints and expected outcome; explains a suitable implementation approach and key design decisions.</x:v>
      </x:c>
    </x:row>
    <x:row r="6">
      <x:c r="A6" s="88" t="str">
        <x:v>C1 – Problem Understanding &amp; Solution Approach</x:v>
      </x:c>
      <x:c r="B6" s="89" t="n">
        <x:v>1.5</x:v>
      </x:c>
      <x:c r="C6" s="89" t="str">
        <x:v>Good</x:v>
      </x:c>
      <x:c r="D6" s="89" t="n">
        <x:v>1.2</x:v>
      </x:c>
      <x:c r="E6" s="88" t="str">
        <x:v>Understands the main problem and requirements; explains the implementation approach with only minor gaps.</x:v>
      </x:c>
    </x:row>
    <x:row r="7">
      <x:c r="A7" s="88" t="str">
        <x:v>C1 – Problem Understanding &amp; Solution Approach</x:v>
      </x:c>
      <x:c r="B7" s="89" t="n">
        <x:v>1.5</x:v>
      </x:c>
      <x:c r="C7" s="89" t="str">
        <x:v>Fair</x:v>
      </x:c>
      <x:c r="D7" s="89" t="n">
        <x:v>0.8</x:v>
      </x:c>
      <x:c r="E7" s="88" t="str">
        <x:v>Understands basic requirements but explanation of approach/design is partial or dependent on prompting.</x:v>
      </x:c>
    </x:row>
    <x:row r="8">
      <x:c r="A8" s="88" t="str">
        <x:v>C1 – Problem Understanding &amp; Solution Approach</x:v>
      </x:c>
      <x:c r="B8" s="89" t="n">
        <x:v>1.5</x:v>
      </x:c>
      <x:c r="C8" s="89" t="str">
        <x:v>Poor</x:v>
      </x:c>
      <x:c r="D8" s="89" t="n">
        <x:v>0.3</x:v>
      </x:c>
      <x:c r="E8" s="88" t="str">
        <x:v>Understanding is fragmented; cannot clearly connect requirements to the implementation approach.</x:v>
      </x:c>
    </x:row>
    <x:row r="9">
      <x:c r="A9" s="88" t="str">
        <x:v>C1 – Problem Understanding &amp; Solution Approach</x:v>
      </x:c>
      <x:c r="B9" s="89" t="n">
        <x:v>1.5</x:v>
      </x:c>
      <x:c r="C9" s="89" t="str">
        <x:v>Not demonstrated</x:v>
      </x:c>
      <x:c r="D9" s="89" t="n">
        <x:v>0</x:v>
      </x:c>
      <x:c r="E9" s="88" t="str">
        <x:v>Cannot demonstrate sufficient understanding of the problem or approach.</x:v>
      </x:c>
    </x:row>
    <x:row r="10">
      <x:c r="A10" s="92" t="str">
        <x:v>C2 – Individual Engineering Process &amp; Personal Git Evidence</x:v>
      </x:c>
      <x:c r="B10" s="93" t="n">
        <x:v>2</x:v>
      </x:c>
      <x:c r="C10" s="93" t="str">
        <x:v>Excellent</x:v>
      </x:c>
      <x:c r="D10" s="93" t="n">
        <x:v>2</x:v>
      </x:c>
      <x:c r="E10" s="92" t="str">
        <x:v>Personal repository and correct account; meaningful commits across the development period; history shows real evolution from initial work to features, fixes and improvement.</x:v>
      </x:c>
    </x:row>
    <x:row r="11">
      <x:c r="A11" s="92" t="str">
        <x:v>C2 – Individual Engineering Process &amp; Personal Git Evidence</x:v>
      </x:c>
      <x:c r="B11" s="93" t="n">
        <x:v>2</x:v>
      </x:c>
      <x:c r="C11" s="93" t="str">
        <x:v>Good</x:v>
      </x:c>
      <x:c r="D11" s="93" t="n">
        <x:v>1.6</x:v>
      </x:c>
      <x:c r="E11" s="92" t="str">
        <x:v>Personal Git process is clear with only small gaps in timeline or commit quality.</x:v>
      </x:c>
    </x:row>
    <x:row r="12">
      <x:c r="A12" s="92" t="str">
        <x:v>C2 – Individual Engineering Process &amp; Personal Git Evidence</x:v>
      </x:c>
      <x:c r="B12" s="93" t="n">
        <x:v>2</x:v>
      </x:c>
      <x:c r="C12" s="93" t="str">
        <x:v>Fair</x:v>
      </x:c>
      <x:c r="D12" s="93" t="n">
        <x:v>1</x:v>
      </x:c>
      <x:c r="E12" s="92" t="str">
        <x:v>Repository exists but commit history is concentrated late, sparse, or weak in showing development evolution.</x:v>
      </x:c>
    </x:row>
    <x:row r="13">
      <x:c r="A13" s="92" t="str">
        <x:v>C2 – Individual Engineering Process &amp; Personal Git Evidence</x:v>
      </x:c>
      <x:c r="B13" s="93" t="n">
        <x:v>2</x:v>
      </x:c>
      <x:c r="C13" s="93" t="str">
        <x:v>Poor</x:v>
      </x:c>
      <x:c r="D13" s="93" t="n">
        <x:v>0.4</x:v>
      </x:c>
      <x:c r="E13" s="92" t="str">
        <x:v>Very weak Git evidence, one-shot upload, unclear authorship/account, or little evidence of development process.</x:v>
      </x:c>
    </x:row>
    <x:row r="14">
      <x:c r="A14" s="92" t="str">
        <x:v>C2 – Individual Engineering Process &amp; Personal Git Evidence</x:v>
      </x:c>
      <x:c r="B14" s="93" t="n">
        <x:v>2</x:v>
      </x:c>
      <x:c r="C14" s="93" t="str">
        <x:v>Not demonstrated</x:v>
      </x:c>
      <x:c r="D14" s="93" t="n">
        <x:v>0</x:v>
      </x:c>
      <x:c r="E14" s="92" t="str">
        <x:v>No acceptable personal Git/process evidence.</x:v>
      </x:c>
    </x:row>
    <x:row r="15">
      <x:c r="A15" s="88" t="str">
        <x:v>C3 – Functional Implementation</x:v>
      </x:c>
      <x:c r="B15" s="89" t="n">
        <x:v>1.5</x:v>
      </x:c>
      <x:c r="C15" s="89" t="str">
        <x:v>Excellent</x:v>
      </x:c>
      <x:c r="D15" s="89" t="n">
        <x:v>1.5</x:v>
      </x:c>
      <x:c r="E15" s="88" t="str">
        <x:v>Assignment runs reliably; required core functions work and integrate correctly.</x:v>
      </x:c>
    </x:row>
    <x:row r="16">
      <x:c r="A16" s="88" t="str">
        <x:v>C3 – Functional Implementation</x:v>
      </x:c>
      <x:c r="B16" s="89" t="n">
        <x:v>1.5</x:v>
      </x:c>
      <x:c r="C16" s="89" t="str">
        <x:v>Good</x:v>
      </x:c>
      <x:c r="D16" s="89" t="n">
        <x:v>1.2</x:v>
      </x:c>
      <x:c r="E16" s="88" t="str">
        <x:v>Most core functions work; only minor issues that do not break the main workflow.</x:v>
      </x:c>
    </x:row>
    <x:row r="17">
      <x:c r="A17" s="88" t="str">
        <x:v>C3 – Functional Implementation</x:v>
      </x:c>
      <x:c r="B17" s="89" t="n">
        <x:v>1.5</x:v>
      </x:c>
      <x:c r="C17" s="89" t="str">
        <x:v>Fair</x:v>
      </x:c>
      <x:c r="D17" s="89" t="n">
        <x:v>0.8</x:v>
      </x:c>
      <x:c r="E17" s="88" t="str">
        <x:v>Assignment runs but important functions are partial, fragile, or incomplete.</x:v>
      </x:c>
    </x:row>
    <x:row r="18">
      <x:c r="A18" s="88" t="str">
        <x:v>C3 – Functional Implementation</x:v>
      </x:c>
      <x:c r="B18" s="89" t="n">
        <x:v>1.5</x:v>
      </x:c>
      <x:c r="C18" s="89" t="str">
        <x:v>Poor</x:v>
      </x:c>
      <x:c r="D18" s="89" t="n">
        <x:v>0.3</x:v>
      </x:c>
      <x:c r="E18" s="88" t="str">
        <x:v>Major functional issues or core workflow cannot be demonstrated reliably.</x:v>
      </x:c>
    </x:row>
    <x:row r="19">
      <x:c r="A19" s="88" t="str">
        <x:v>C3 – Functional Implementation</x:v>
      </x:c>
      <x:c r="B19" s="89" t="n">
        <x:v>1.5</x:v>
      </x:c>
      <x:c r="C19" s="89" t="str">
        <x:v>Not demonstrated</x:v>
      </x:c>
      <x:c r="D19" s="89" t="n">
        <x:v>0</x:v>
      </x:c>
      <x:c r="E19" s="88" t="str">
        <x:v>Assignment cannot be run or core functionality cannot be demonstrated.</x:v>
      </x:c>
    </x:row>
    <x:row r="20">
      <x:c r="A20" s="92" t="str">
        <x:v>C4 – Code Understanding, Explanation &amp; Adaptation</x:v>
      </x:c>
      <x:c r="B20" s="93" t="n">
        <x:v>5</x:v>
      </x:c>
      <x:c r="C20" s="93" t="str">
        <x:v>Excellent</x:v>
      </x:c>
      <x:c r="D20" s="93" t="n">
        <x:v>5</x:v>
      </x:c>
      <x:c r="E20" s="92" t="str">
        <x:v>Explains code and flow confidently, traces input-to-output, understands data/state/dependencies/design choices, and accurately analyzes change impact. Live modification is not required if interview evidence is already sufficient.</x:v>
      </x:c>
    </x:row>
    <x:row r="21">
      <x:c r="A21" s="92" t="str">
        <x:v>C4 – Code Understanding, Explanation &amp; Adaptation</x:v>
      </x:c>
      <x:c r="B21" s="93" t="n">
        <x:v>5</x:v>
      </x:c>
      <x:c r="C21" s="93" t="str">
        <x:v>Good</x:v>
      </x:c>
      <x:c r="D21" s="93" t="n">
        <x:v>4</x:v>
      </x:c>
      <x:c r="E21" s="92" t="str">
        <x:v>Understands and explains most important code/flows; handles change-impact questions with only minor prompting.</x:v>
      </x:c>
    </x:row>
    <x:row r="22">
      <x:c r="A22" s="92" t="str">
        <x:v>C4 – Code Understanding, Explanation &amp; Adaptation</x:v>
      </x:c>
      <x:c r="B22" s="93" t="n">
        <x:v>5</x:v>
      </x:c>
      <x:c r="C22" s="93" t="str">
        <x:v>Fair</x:v>
      </x:c>
      <x:c r="D22" s="93" t="n">
        <x:v>2.75</x:v>
      </x:c>
      <x:c r="E22" s="92" t="str">
        <x:v>Understands parts of the code but explanation is shallow, flow tracing is incomplete, or change-impact reasoning needs significant prompting.</x:v>
      </x:c>
    </x:row>
    <x:row r="23">
      <x:c r="A23" s="92" t="str">
        <x:v>C4 – Code Understanding, Explanation &amp; Adaptation</x:v>
      </x:c>
      <x:c r="B23" s="93" t="n">
        <x:v>5</x:v>
      </x:c>
      <x:c r="C23" s="93" t="str">
        <x:v>Poor</x:v>
      </x:c>
      <x:c r="D23" s="93" t="n">
        <x:v>1.25</x:v>
      </x:c>
      <x:c r="E23" s="92" t="str">
        <x:v>Cannot reliably explain key code/flows or reason about changes; may depend heavily on examples or external assistance.</x:v>
      </x:c>
    </x:row>
    <x:row r="24">
      <x:c r="A24" s="92" t="str">
        <x:v>C4 – Code Understanding, Explanation &amp; Adaptation</x:v>
      </x:c>
      <x:c r="B24" s="93" t="n">
        <x:v>5</x:v>
      </x:c>
      <x:c r="C24" s="93" t="str">
        <x:v>Not demonstrated</x:v>
      </x:c>
      <x:c r="D24" s="93" t="n">
        <x:v>0</x:v>
      </x:c>
      <x:c r="E24" s="92" t="str">
        <x:v>Cannot demonstrate ownership or understanding of the submitted code.</x:v>
      </x:c>
    </x:row>
  </x:sheetData>
  <x:mergeCells>
    <x:mergeCell ref="A1:E1"/>
    <x:mergeCell ref="A2:E2"/>
  </x:mergeCells>
  <x:pageMargins left="0.7" right="0.7" top="0.75" bottom="0.75" header="0.3" footer="0.3"/>
</x:worksheet>
</file>