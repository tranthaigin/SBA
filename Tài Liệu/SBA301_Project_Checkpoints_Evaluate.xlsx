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1.Lecture\FPT\2026\FA26\SBA301\resource\rubric\assignment\Rubric_SBA301\project\"/>
    </mc:Choice>
  </mc:AlternateContent>
  <xr:revisionPtr revIDLastSave="0" documentId="13_ncr:1_{DFC491D9-12EA-490A-BD3F-C380F64B5C63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Checkpoint 1" sheetId="1" r:id="rId1"/>
    <sheet name="Checkpoint 2" sheetId="2" r:id="rId2"/>
    <sheet name="Final Defense" sheetId="3" r:id="rId3"/>
    <sheet name="Tong hop 3 vong" sheetId="4" r:id="rId4"/>
    <sheet name="Rubric &amp; Huong dan" sheetId="5" r:id="rId5"/>
  </sheets>
  <calcPr calcId="191029"/>
</workbook>
</file>

<file path=xl/calcChain.xml><?xml version="1.0" encoding="utf-8"?>
<calcChain xmlns="http://schemas.openxmlformats.org/spreadsheetml/2006/main">
  <c r="I38" i="4" l="1"/>
  <c r="C38" i="4"/>
  <c r="B38" i="4"/>
  <c r="A38" i="4"/>
  <c r="C37" i="4"/>
  <c r="B37" i="4"/>
  <c r="A37" i="4"/>
  <c r="C36" i="4"/>
  <c r="B36" i="4"/>
  <c r="A36" i="4"/>
  <c r="C35" i="4"/>
  <c r="B35" i="4"/>
  <c r="A35" i="4"/>
  <c r="C34" i="4"/>
  <c r="B34" i="4"/>
  <c r="F34" i="4" s="1"/>
  <c r="A34" i="4"/>
  <c r="C33" i="4"/>
  <c r="B33" i="4"/>
  <c r="F33" i="4" s="1"/>
  <c r="A33" i="4"/>
  <c r="C32" i="4"/>
  <c r="B32" i="4"/>
  <c r="D32" i="4" s="1"/>
  <c r="A32" i="4"/>
  <c r="C31" i="4"/>
  <c r="B31" i="4"/>
  <c r="A31" i="4"/>
  <c r="C30" i="4"/>
  <c r="B30" i="4"/>
  <c r="A30" i="4"/>
  <c r="C29" i="4"/>
  <c r="B29" i="4"/>
  <c r="A29" i="4"/>
  <c r="C28" i="4"/>
  <c r="B28" i="4"/>
  <c r="A28" i="4"/>
  <c r="C27" i="4"/>
  <c r="B27" i="4"/>
  <c r="F27" i="4" s="1"/>
  <c r="A27" i="4"/>
  <c r="C26" i="4"/>
  <c r="B26" i="4"/>
  <c r="F26" i="4" s="1"/>
  <c r="A26" i="4"/>
  <c r="C25" i="4"/>
  <c r="B25" i="4"/>
  <c r="A25" i="4"/>
  <c r="C24" i="4"/>
  <c r="B24" i="4"/>
  <c r="A24" i="4"/>
  <c r="C23" i="4"/>
  <c r="B23" i="4"/>
  <c r="A23" i="4"/>
  <c r="C22" i="4"/>
  <c r="B22" i="4"/>
  <c r="A22" i="4"/>
  <c r="C21" i="4"/>
  <c r="B21" i="4"/>
  <c r="D21" i="4" s="1"/>
  <c r="A21" i="4"/>
  <c r="C20" i="4"/>
  <c r="B20" i="4"/>
  <c r="A20" i="4"/>
  <c r="C19" i="4"/>
  <c r="B19" i="4"/>
  <c r="F19" i="4" s="1"/>
  <c r="A19" i="4"/>
  <c r="C18" i="4"/>
  <c r="B18" i="4"/>
  <c r="A18" i="4"/>
  <c r="C17" i="4"/>
  <c r="B17" i="4"/>
  <c r="A17" i="4"/>
  <c r="C16" i="4"/>
  <c r="B16" i="4"/>
  <c r="A16" i="4"/>
  <c r="C15" i="4"/>
  <c r="B15" i="4"/>
  <c r="A15" i="4"/>
  <c r="C14" i="4"/>
  <c r="B14" i="4"/>
  <c r="A14" i="4"/>
  <c r="C13" i="4"/>
  <c r="B13" i="4"/>
  <c r="A13" i="4"/>
  <c r="C12" i="4"/>
  <c r="B12" i="4"/>
  <c r="A12" i="4"/>
  <c r="C11" i="4"/>
  <c r="B11" i="4"/>
  <c r="A11" i="4"/>
  <c r="C10" i="4"/>
  <c r="B10" i="4"/>
  <c r="A10" i="4"/>
  <c r="D9" i="4"/>
  <c r="C9" i="4"/>
  <c r="B9" i="4"/>
  <c r="A9" i="4"/>
  <c r="D6" i="4"/>
  <c r="J38" i="3"/>
  <c r="L38" i="3" s="1"/>
  <c r="C38" i="3"/>
  <c r="B38" i="3"/>
  <c r="A38" i="3"/>
  <c r="C37" i="3"/>
  <c r="B37" i="3"/>
  <c r="J37" i="3" s="1"/>
  <c r="L37" i="3" s="1"/>
  <c r="A37" i="3"/>
  <c r="J36" i="3"/>
  <c r="L36" i="3" s="1"/>
  <c r="C36" i="3"/>
  <c r="B36" i="3"/>
  <c r="A36" i="3"/>
  <c r="J35" i="3"/>
  <c r="L35" i="3" s="1"/>
  <c r="C35" i="3"/>
  <c r="B35" i="3"/>
  <c r="A35" i="3"/>
  <c r="C34" i="3"/>
  <c r="B34" i="3"/>
  <c r="J34" i="3" s="1"/>
  <c r="L34" i="3" s="1"/>
  <c r="A34" i="3"/>
  <c r="J33" i="3"/>
  <c r="L33" i="3" s="1"/>
  <c r="C33" i="3"/>
  <c r="B33" i="3"/>
  <c r="A33" i="3"/>
  <c r="C32" i="3"/>
  <c r="B32" i="3"/>
  <c r="J32" i="3" s="1"/>
  <c r="L32" i="3" s="1"/>
  <c r="A32" i="3"/>
  <c r="C31" i="3"/>
  <c r="B31" i="3"/>
  <c r="J31" i="3" s="1"/>
  <c r="L31" i="3" s="1"/>
  <c r="A31" i="3"/>
  <c r="C30" i="3"/>
  <c r="B30" i="3"/>
  <c r="J30" i="3" s="1"/>
  <c r="L30" i="3" s="1"/>
  <c r="A30" i="3"/>
  <c r="C29" i="3"/>
  <c r="B29" i="3"/>
  <c r="J29" i="3" s="1"/>
  <c r="L29" i="3" s="1"/>
  <c r="A29" i="3"/>
  <c r="C28" i="3"/>
  <c r="B28" i="3"/>
  <c r="J28" i="3" s="1"/>
  <c r="L28" i="3" s="1"/>
  <c r="A28" i="3"/>
  <c r="C27" i="3"/>
  <c r="B27" i="3"/>
  <c r="J27" i="3" s="1"/>
  <c r="L27" i="3" s="1"/>
  <c r="A27" i="3"/>
  <c r="C26" i="3"/>
  <c r="B26" i="3"/>
  <c r="J26" i="3" s="1"/>
  <c r="L26" i="3" s="1"/>
  <c r="A26" i="3"/>
  <c r="C25" i="3"/>
  <c r="B25" i="3"/>
  <c r="J25" i="3" s="1"/>
  <c r="L25" i="3" s="1"/>
  <c r="A25" i="3"/>
  <c r="J24" i="3"/>
  <c r="L24" i="3" s="1"/>
  <c r="C24" i="3"/>
  <c r="B24" i="3"/>
  <c r="A24" i="3"/>
  <c r="C23" i="3"/>
  <c r="B23" i="3"/>
  <c r="J23" i="3" s="1"/>
  <c r="L23" i="3" s="1"/>
  <c r="A23" i="3"/>
  <c r="J22" i="3"/>
  <c r="L22" i="3" s="1"/>
  <c r="C22" i="3"/>
  <c r="B22" i="3"/>
  <c r="A22" i="3"/>
  <c r="C21" i="3"/>
  <c r="B21" i="3"/>
  <c r="J21" i="3" s="1"/>
  <c r="L21" i="3" s="1"/>
  <c r="A21" i="3"/>
  <c r="J20" i="3"/>
  <c r="L20" i="3" s="1"/>
  <c r="C20" i="3"/>
  <c r="B20" i="3"/>
  <c r="A20" i="3"/>
  <c r="C19" i="3"/>
  <c r="B19" i="3"/>
  <c r="J19" i="3" s="1"/>
  <c r="L19" i="3" s="1"/>
  <c r="A19" i="3"/>
  <c r="C18" i="3"/>
  <c r="B18" i="3"/>
  <c r="J18" i="3" s="1"/>
  <c r="L18" i="3" s="1"/>
  <c r="A18" i="3"/>
  <c r="C17" i="3"/>
  <c r="B17" i="3"/>
  <c r="J17" i="3" s="1"/>
  <c r="L17" i="3" s="1"/>
  <c r="A17" i="3"/>
  <c r="J16" i="3"/>
  <c r="L16" i="3" s="1"/>
  <c r="F16" i="4" s="1"/>
  <c r="C16" i="3"/>
  <c r="B16" i="3"/>
  <c r="A16" i="3"/>
  <c r="C15" i="3"/>
  <c r="B15" i="3"/>
  <c r="J15" i="3" s="1"/>
  <c r="L15" i="3" s="1"/>
  <c r="A15" i="3"/>
  <c r="C14" i="3"/>
  <c r="B14" i="3"/>
  <c r="J14" i="3" s="1"/>
  <c r="L14" i="3" s="1"/>
  <c r="A14" i="3"/>
  <c r="C13" i="3"/>
  <c r="B13" i="3"/>
  <c r="J13" i="3" s="1"/>
  <c r="L13" i="3" s="1"/>
  <c r="A13" i="3"/>
  <c r="J12" i="3"/>
  <c r="L12" i="3" s="1"/>
  <c r="C12" i="3"/>
  <c r="B12" i="3"/>
  <c r="A12" i="3"/>
  <c r="J11" i="3"/>
  <c r="L11" i="3" s="1"/>
  <c r="C11" i="3"/>
  <c r="B11" i="3"/>
  <c r="A11" i="3"/>
  <c r="C10" i="3"/>
  <c r="B10" i="3"/>
  <c r="J10" i="3" s="1"/>
  <c r="L10" i="3" s="1"/>
  <c r="F10" i="4" s="1"/>
  <c r="A10" i="3"/>
  <c r="C9" i="3"/>
  <c r="B9" i="3"/>
  <c r="J9" i="3" s="1"/>
  <c r="L9" i="3" s="1"/>
  <c r="A9" i="3"/>
  <c r="C38" i="2"/>
  <c r="B38" i="2"/>
  <c r="I38" i="2" s="1"/>
  <c r="A38" i="2"/>
  <c r="I37" i="2"/>
  <c r="C37" i="2"/>
  <c r="B37" i="2"/>
  <c r="A37" i="2"/>
  <c r="C36" i="2"/>
  <c r="B36" i="2"/>
  <c r="I36" i="2" s="1"/>
  <c r="A36" i="2"/>
  <c r="I35" i="2"/>
  <c r="C35" i="2"/>
  <c r="B35" i="2"/>
  <c r="A35" i="2"/>
  <c r="I34" i="2"/>
  <c r="C34" i="2"/>
  <c r="B34" i="2"/>
  <c r="A34" i="2"/>
  <c r="I33" i="2"/>
  <c r="C33" i="2"/>
  <c r="B33" i="2"/>
  <c r="A33" i="2"/>
  <c r="I32" i="2"/>
  <c r="C32" i="2"/>
  <c r="B32" i="2"/>
  <c r="A32" i="2"/>
  <c r="I31" i="2"/>
  <c r="C31" i="2"/>
  <c r="B31" i="2"/>
  <c r="A31" i="2"/>
  <c r="I30" i="2"/>
  <c r="C30" i="2"/>
  <c r="B30" i="2"/>
  <c r="A30" i="2"/>
  <c r="I29" i="2"/>
  <c r="C29" i="2"/>
  <c r="B29" i="2"/>
  <c r="A29" i="2"/>
  <c r="I28" i="2"/>
  <c r="C28" i="2"/>
  <c r="B28" i="2"/>
  <c r="A28" i="2"/>
  <c r="I27" i="2"/>
  <c r="C27" i="2"/>
  <c r="B27" i="2"/>
  <c r="A27" i="2"/>
  <c r="I26" i="2"/>
  <c r="C26" i="2"/>
  <c r="B26" i="2"/>
  <c r="A26" i="2"/>
  <c r="I25" i="2"/>
  <c r="E25" i="4" s="1"/>
  <c r="C25" i="2"/>
  <c r="B25" i="2"/>
  <c r="A25" i="2"/>
  <c r="I24" i="2"/>
  <c r="E24" i="4" s="1"/>
  <c r="C24" i="2"/>
  <c r="B24" i="2"/>
  <c r="A24" i="2"/>
  <c r="I23" i="2"/>
  <c r="C23" i="2"/>
  <c r="B23" i="2"/>
  <c r="A23" i="2"/>
  <c r="I22" i="2"/>
  <c r="C22" i="2"/>
  <c r="B22" i="2"/>
  <c r="A22" i="2"/>
  <c r="I21" i="2"/>
  <c r="C21" i="2"/>
  <c r="B21" i="2"/>
  <c r="A21" i="2"/>
  <c r="I20" i="2"/>
  <c r="C20" i="2"/>
  <c r="B20" i="2"/>
  <c r="A20" i="2"/>
  <c r="I19" i="2"/>
  <c r="C19" i="2"/>
  <c r="B19" i="2"/>
  <c r="A19" i="2"/>
  <c r="I18" i="2"/>
  <c r="C18" i="2"/>
  <c r="B18" i="2"/>
  <c r="A18" i="2"/>
  <c r="I17" i="2"/>
  <c r="C17" i="2"/>
  <c r="B17" i="2"/>
  <c r="A17" i="2"/>
  <c r="I16" i="2"/>
  <c r="E16" i="4" s="1"/>
  <c r="C16" i="2"/>
  <c r="B16" i="2"/>
  <c r="A16" i="2"/>
  <c r="I15" i="2"/>
  <c r="C15" i="2"/>
  <c r="B15" i="2"/>
  <c r="A15" i="2"/>
  <c r="I14" i="2"/>
  <c r="C14" i="2"/>
  <c r="B14" i="2"/>
  <c r="A14" i="2"/>
  <c r="I13" i="2"/>
  <c r="C13" i="2"/>
  <c r="B13" i="2"/>
  <c r="A13" i="2"/>
  <c r="I12" i="2"/>
  <c r="C12" i="2"/>
  <c r="B12" i="2"/>
  <c r="A12" i="2"/>
  <c r="I11" i="2"/>
  <c r="C11" i="2"/>
  <c r="B11" i="2"/>
  <c r="A11" i="2"/>
  <c r="I10" i="2"/>
  <c r="E10" i="4" s="1"/>
  <c r="C10" i="2"/>
  <c r="B10" i="2"/>
  <c r="A10" i="2"/>
  <c r="I9" i="2"/>
  <c r="E9" i="4" s="1"/>
  <c r="C9" i="2"/>
  <c r="B9" i="2"/>
  <c r="A9" i="2"/>
  <c r="I38" i="1"/>
  <c r="I37" i="1"/>
  <c r="I36" i="1"/>
  <c r="I35" i="1"/>
  <c r="I34" i="1"/>
  <c r="I33" i="1"/>
  <c r="I32" i="1"/>
  <c r="I31" i="1"/>
  <c r="I30" i="1"/>
  <c r="I29" i="1"/>
  <c r="I28" i="1"/>
  <c r="D28" i="4" s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D12" i="4" s="1"/>
  <c r="I11" i="1"/>
  <c r="I10" i="1"/>
  <c r="I9" i="1"/>
  <c r="G16" i="4" l="1"/>
  <c r="H16" i="4" s="1"/>
  <c r="I10" i="4"/>
  <c r="F9" i="4"/>
  <c r="I9" i="4" s="1"/>
  <c r="I22" i="4"/>
  <c r="D19" i="4"/>
  <c r="I19" i="4" s="1"/>
  <c r="D27" i="4"/>
  <c r="D16" i="4"/>
  <c r="D17" i="4"/>
  <c r="I17" i="4" s="1"/>
  <c r="D18" i="4"/>
  <c r="E19" i="4"/>
  <c r="D26" i="4"/>
  <c r="I26" i="4" s="1"/>
  <c r="E27" i="4"/>
  <c r="I27" i="4" s="1"/>
  <c r="D37" i="4"/>
  <c r="I37" i="4" s="1"/>
  <c r="D10" i="4"/>
  <c r="E12" i="4"/>
  <c r="E17" i="4"/>
  <c r="E18" i="4"/>
  <c r="D24" i="4"/>
  <c r="D25" i="4"/>
  <c r="I25" i="4" s="1"/>
  <c r="E26" i="4"/>
  <c r="D35" i="4"/>
  <c r="I35" i="4" s="1"/>
  <c r="D33" i="4"/>
  <c r="D34" i="4"/>
  <c r="E35" i="4"/>
  <c r="F18" i="4"/>
  <c r="I18" i="4" s="1"/>
  <c r="F25" i="4"/>
  <c r="E28" i="4"/>
  <c r="E33" i="4"/>
  <c r="E34" i="4"/>
  <c r="F35" i="4"/>
  <c r="F17" i="4"/>
  <c r="G17" i="4" s="1"/>
  <c r="H17" i="4" s="1"/>
  <c r="I16" i="4"/>
  <c r="F24" i="4"/>
  <c r="G24" i="4" s="1"/>
  <c r="H24" i="4" s="1"/>
  <c r="E32" i="4"/>
  <c r="G32" i="4" s="1"/>
  <c r="H32" i="4" s="1"/>
  <c r="F32" i="4"/>
  <c r="I32" i="4" s="1"/>
  <c r="D36" i="4"/>
  <c r="I36" i="4" s="1"/>
  <c r="F14" i="4"/>
  <c r="E14" i="4"/>
  <c r="I14" i="4" s="1"/>
  <c r="D14" i="4"/>
  <c r="F30" i="4"/>
  <c r="E30" i="4"/>
  <c r="D30" i="4"/>
  <c r="I30" i="4" s="1"/>
  <c r="F23" i="4"/>
  <c r="E23" i="4"/>
  <c r="D23" i="4"/>
  <c r="G23" i="4" s="1"/>
  <c r="H23" i="4" s="1"/>
  <c r="D11" i="4"/>
  <c r="F20" i="4"/>
  <c r="E11" i="4"/>
  <c r="G9" i="4"/>
  <c r="H9" i="4" s="1"/>
  <c r="F11" i="4"/>
  <c r="I11" i="4" s="1"/>
  <c r="D20" i="4"/>
  <c r="G20" i="4" s="1"/>
  <c r="H20" i="4" s="1"/>
  <c r="F22" i="4"/>
  <c r="E22" i="4"/>
  <c r="D22" i="4"/>
  <c r="G22" i="4" s="1"/>
  <c r="H22" i="4" s="1"/>
  <c r="F38" i="4"/>
  <c r="E38" i="4"/>
  <c r="D38" i="4"/>
  <c r="G38" i="4" s="1"/>
  <c r="H38" i="4" s="1"/>
  <c r="F36" i="4"/>
  <c r="F13" i="4"/>
  <c r="E13" i="4"/>
  <c r="F29" i="4"/>
  <c r="E29" i="4"/>
  <c r="G29" i="4" s="1"/>
  <c r="H29" i="4" s="1"/>
  <c r="G10" i="4"/>
  <c r="H10" i="4" s="1"/>
  <c r="D13" i="4"/>
  <c r="F15" i="4"/>
  <c r="E15" i="4"/>
  <c r="D15" i="4"/>
  <c r="E20" i="4"/>
  <c r="I23" i="4"/>
  <c r="D29" i="4"/>
  <c r="I29" i="4" s="1"/>
  <c r="F31" i="4"/>
  <c r="E31" i="4"/>
  <c r="D31" i="4"/>
  <c r="G31" i="4" s="1"/>
  <c r="H31" i="4" s="1"/>
  <c r="E36" i="4"/>
  <c r="G36" i="4" s="1"/>
  <c r="H36" i="4" s="1"/>
  <c r="F12" i="4"/>
  <c r="G12" i="4" s="1"/>
  <c r="H12" i="4" s="1"/>
  <c r="I28" i="4"/>
  <c r="F28" i="4"/>
  <c r="G28" i="4" s="1"/>
  <c r="H28" i="4" s="1"/>
  <c r="F21" i="4"/>
  <c r="E21" i="4"/>
  <c r="G21" i="4" s="1"/>
  <c r="H21" i="4" s="1"/>
  <c r="F37" i="4"/>
  <c r="E37" i="4"/>
  <c r="G19" i="4"/>
  <c r="H19" i="4" s="1"/>
  <c r="G27" i="4"/>
  <c r="H27" i="4" s="1"/>
  <c r="G35" i="4"/>
  <c r="H35" i="4" s="1"/>
  <c r="G15" i="4" l="1"/>
  <c r="H15" i="4" s="1"/>
  <c r="I15" i="4"/>
  <c r="G25" i="4"/>
  <c r="H25" i="4" s="1"/>
  <c r="G18" i="4"/>
  <c r="H18" i="4" s="1"/>
  <c r="I24" i="4"/>
  <c r="I21" i="4"/>
  <c r="G37" i="4"/>
  <c r="H37" i="4" s="1"/>
  <c r="G26" i="4"/>
  <c r="H26" i="4" s="1"/>
  <c r="I12" i="4"/>
  <c r="G13" i="4"/>
  <c r="H13" i="4" s="1"/>
  <c r="I34" i="4"/>
  <c r="I20" i="4"/>
  <c r="G11" i="4"/>
  <c r="H11" i="4" s="1"/>
  <c r="G30" i="4"/>
  <c r="H30" i="4" s="1"/>
  <c r="G33" i="4"/>
  <c r="H33" i="4" s="1"/>
  <c r="I33" i="4"/>
  <c r="I31" i="4"/>
  <c r="G34" i="4"/>
  <c r="H34" i="4" s="1"/>
  <c r="G14" i="4"/>
  <c r="H14" i="4" s="1"/>
  <c r="I13" i="4"/>
</calcChain>
</file>

<file path=xl/sharedStrings.xml><?xml version="1.0" encoding="utf-8"?>
<sst xmlns="http://schemas.openxmlformats.org/spreadsheetml/2006/main" count="170" uniqueCount="139">
  <si>
    <t>KHÔNG DEMO  •  Chọn điểm từ dropdown  •  Chấm cá nhân theo Backlog / Git / Code Interview</t>
  </si>
  <si>
    <t>CP1: Backlog, UC ID, iteration, owner, lịch làm việc và kế hoạch Git.</t>
  </si>
  <si>
    <t>Quy trình: kiểm tra backlog → mở Git theo tài khoản cá nhân → yêu cầu chỉ đúng code và giải thích luồng. Không chạy/demo app.</t>
  </si>
  <si>
    <t>Nhóm</t>
  </si>
  <si>
    <t>MSSV</t>
  </si>
  <si>
    <t>Họ tên</t>
  </si>
  <si>
    <t>Git account</t>
  </si>
  <si>
    <t>UC/Task ID phụ trách</t>
  </si>
  <si>
    <t>C1 · Bài toán (2.5)</t>
  </si>
  <si>
    <t>C2 · Tiến trình &amp; Git (3.0)</t>
  </si>
  <si>
    <t>C4 · Hiểu code (4.5)</t>
  </si>
  <si>
    <t>Điểm CP /10</t>
  </si>
  <si>
    <t>Evidence ngắn / nhận xét / việc cần cải thiện</t>
  </si>
  <si>
    <t>CP2: Đối chiếu CP1, tiến độ thực tế, Git traceability, giải pháp kỹ thuật và hiểu code.</t>
  </si>
  <si>
    <t>CÓ DEMO • Final iteration • Documents + Teamwork + Code Defense • Bonus ≤ 0.5</t>
  </si>
  <si>
    <t>Điểm Final = MIN(10, Document 1 + Teamwork 1 + Slides 1 + Demo 3 + Code Defense 4 + Bonus tối đa 0.5).</t>
  </si>
  <si>
    <t>Document (1.0)</t>
  </si>
  <si>
    <t>Teamwork (1.0)</t>
  </si>
  <si>
    <t>Slides (1.0)</t>
  </si>
  <si>
    <t>Demo chức năng (3.0)</t>
  </si>
  <si>
    <t>Code Defense &amp; Q&amp;A (4.0)</t>
  </si>
  <si>
    <t>Base /10</t>
  </si>
  <si>
    <t>Bonus /0.5</t>
  </si>
  <si>
    <t>Final /10</t>
  </si>
  <si>
    <t>Minh chứng / tài liệu / Git tag</t>
  </si>
  <si>
    <t>Nhận xét</t>
  </si>
  <si>
    <t>Danh sách sinh viên nhập ở Checkpoint 1 • Điểm tự liên kết • Chỉ tổng hợp khi đủ ba vòng</t>
  </si>
  <si>
    <t>Trọng số CP1</t>
  </si>
  <si>
    <t>Trọng số CP2</t>
  </si>
  <si>
    <t>Trọng số Final</t>
  </si>
  <si>
    <t>Tổng trọng số</t>
  </si>
  <si>
    <t>Tỷ trọng 25% – 25% – 50% là ĐỀ XUẤT, có thể sửa A6:C6. Final đã cộng bonus, giới hạn tối đa 10 điểm.</t>
  </si>
  <si>
    <t>CP1 /10</t>
  </si>
  <si>
    <t>CP2 /10</t>
  </si>
  <si>
    <t>Tổng /10</t>
  </si>
  <si>
    <t>Quy đổi 30%</t>
  </si>
  <si>
    <t>Tình trạng</t>
  </si>
  <si>
    <t>Ghi chú</t>
  </si>
  <si>
    <t>RUBRIC   |   HƯỚNG DẪN CHẤM</t>
  </si>
  <si>
    <t>Vòng</t>
  </si>
  <si>
    <t>Tiêu chí</t>
  </si>
  <si>
    <t>Điểm tối đa</t>
  </si>
  <si>
    <t>Bằng chứng chính / cách kiểm tra</t>
  </si>
  <si>
    <t>CP1 / CP2</t>
  </si>
  <si>
    <t>C1 – Problem Understanding &amp; Solution Approach</t>
  </si>
  <si>
    <t>Nắm mục tiêu, yêu cầu UC, nghiệp vụ, iteration và lý do chọn giải pháp.</t>
  </si>
  <si>
    <t>C2 – Individual Engineering Process &amp; Git</t>
  </si>
  <si>
    <t>Backlog UC→Task→Owner→Time→Git; đúng Git account; lịch sử tiến triển, PR/merge. Không đếm commit máy móc.</t>
  </si>
  <si>
    <t>C4 – Code Understanding, Explanation &amp; Adaptation</t>
  </si>
  <si>
    <t>Chỉ code phần cá nhân, trace event→state→logic/data→UI, giải thích thiết kế, lỗi, change impact.</t>
  </si>
  <si>
    <t>Final</t>
  </si>
  <si>
    <t>Document / hồ sơ dự án</t>
  </si>
  <si>
    <t>Report: yêu cầu, thiết kế, ownership, testing, Git evidence, hướng dẫn chạy.</t>
  </si>
  <si>
    <t>Teamwork / Integration</t>
  </si>
  <si>
    <t>Phối hợp nhóm có minh chứng qua PR/review, tích hợp, xử lý xung đột và phụ thuộc.</t>
  </si>
  <si>
    <t>Slides / Presentation</t>
  </si>
  <si>
    <t>Nội dung rõ, phạm vi iteration cuối, phân công và kết quả thực tế.</t>
  </si>
  <si>
    <t>Implemented Features Demo</t>
  </si>
  <si>
    <t>Demo trực tiếp các chức năng đã triển khai ở iteration cuối: luồng nghiệp vụ, kết quả thực tế, lỗi/biên phù hợp.</t>
  </si>
  <si>
    <t>Code Understanding, Defense &amp; Q&amp;A</t>
  </si>
  <si>
    <t>Sinh viên giải thích đúng code mình phụ trách: purpose, input→state→logic→output, design decisions, lỗi và change impact.</t>
  </si>
  <si>
    <t>Đã loại bỏ Flutter &amp; Tests</t>
  </si>
  <si>
    <t>Đã loại bỏ tiêu chí Flutter Implementation &amp; Tests riêng; kiến thức code đánh giá trong Code Defense, kết quả chức năng trong Demo.</t>
  </si>
  <si>
    <t>Bonus</t>
  </si>
  <si>
    <t>0 / 0.5: mức đóng góp nổi bật có minh chứng, không vượt 10 điểm Final.</t>
  </si>
  <si>
    <t>Quy tắc</t>
  </si>
  <si>
    <t>Checkpoint không demo</t>
  </si>
  <si>
    <t>Không chạy app, không chấm chức năng vận hành; ưu tiên xác minh hiểu và ownership.</t>
  </si>
  <si>
    <t>Dropdown scoring</t>
  </si>
  <si>
    <t>Chọn mức 0.5 điểm; để trống nghĩa là chưa chấm, không đồng nghĩa 0.</t>
  </si>
  <si>
    <t>Team vs Individual</t>
  </si>
  <si>
    <t>Đây là project nhóm nhưng cho điểm từng sinh viên; Git account phải riêng.</t>
  </si>
  <si>
    <t>AI-assisted coding</t>
  </si>
  <si>
    <t>Được dùng như công cụ; sinh viên phải giải thích code, kiểm thử, sửa được vấn đề.</t>
  </si>
  <si>
    <t>Điểm tổng</t>
  </si>
  <si>
    <t>Điểm 3 vòng theo tỷ trọng A6:C6 sheet tổng hợp, sau đó quy đổi 30% học phần.</t>
  </si>
  <si>
    <t>CE181052</t>
  </si>
  <si>
    <t>CE181532</t>
  </si>
  <si>
    <t>CE182078</t>
  </si>
  <si>
    <t>CE190386</t>
  </si>
  <si>
    <t>CE190979</t>
  </si>
  <si>
    <t>CE190213</t>
  </si>
  <si>
    <t>CE190603</t>
  </si>
  <si>
    <t>CE190757</t>
  </si>
  <si>
    <t>CE191594</t>
  </si>
  <si>
    <t>CS191497</t>
  </si>
  <si>
    <t>CE150499</t>
  </si>
  <si>
    <t>CE181640</t>
  </si>
  <si>
    <t>CE181720</t>
  </si>
  <si>
    <t>CE190744</t>
  </si>
  <si>
    <t>CE190743</t>
  </si>
  <si>
    <t>CE181654</t>
  </si>
  <si>
    <t>CE190387</t>
  </si>
  <si>
    <t>CE190694</t>
  </si>
  <si>
    <t>CE191122</t>
  </si>
  <si>
    <t>CE191184</t>
  </si>
  <si>
    <t>CE190886</t>
  </si>
  <si>
    <t>CE190890</t>
  </si>
  <si>
    <t>CE190895</t>
  </si>
  <si>
    <t>CE190986</t>
  </si>
  <si>
    <t>CE170754</t>
  </si>
  <si>
    <t>CE172083</t>
  </si>
  <si>
    <t>CE181002</t>
  </si>
  <si>
    <t>CE181211</t>
  </si>
  <si>
    <t>CE191406</t>
  </si>
  <si>
    <t>Lê Hữu Nghĩa</t>
  </si>
  <si>
    <t>Trần Hiền Diệu</t>
  </si>
  <si>
    <t>Tăng Minh Vinh Quang</t>
  </si>
  <si>
    <t>Châu Gia Huy</t>
  </si>
  <si>
    <t>Nguyễn Huỳnh Thiên Ân</t>
  </si>
  <si>
    <t>Đái Minh Như</t>
  </si>
  <si>
    <t>Huỳnh Thái Duy Phương</t>
  </si>
  <si>
    <t>Trương Bình Trọng</t>
  </si>
  <si>
    <t>Tiêu Gia Huy</t>
  </si>
  <si>
    <t>Lâm Thành Phát</t>
  </si>
  <si>
    <t>Trần Thị Hồng Mai</t>
  </si>
  <si>
    <t>Lê Huỳnh Nhựt Khanh</t>
  </si>
  <si>
    <t>Huỳnh Trần Phước Sang</t>
  </si>
  <si>
    <t>Trương Đoàn Minh Phúc</t>
  </si>
  <si>
    <t>Nguyễn Hoàng Minh</t>
  </si>
  <si>
    <t>Huỳnh Nguyễn Chí Nghĩa</t>
  </si>
  <si>
    <t>Nguyễn Hữu Tài</t>
  </si>
  <si>
    <t>Trần Gia Đạt</t>
  </si>
  <si>
    <t>Trần Hiếu Nghĩa</t>
  </si>
  <si>
    <t>Ngô Quốc Hưng</t>
  </si>
  <si>
    <t>Nguyễn Hoàng Long</t>
  </si>
  <si>
    <t>Trần Huỳnh Khôi</t>
  </si>
  <si>
    <t>Trần Công Minh</t>
  </si>
  <si>
    <t>Nguyễn Cao Quí</t>
  </si>
  <si>
    <t>Bùi Minh Khang</t>
  </si>
  <si>
    <t>Ngô Việt Trinh</t>
  </si>
  <si>
    <t>Võ Chánh Huy</t>
  </si>
  <si>
    <t>Lê Huỳnh Thiện Hưng</t>
  </si>
  <si>
    <t>Lê Thuận Phát</t>
  </si>
  <si>
    <t>SBA301   |   CHECKPOINT 1</t>
  </si>
  <si>
    <t>SBA301   |   CHECKPOINT 2</t>
  </si>
  <si>
    <t>SBA301   |   FINAL DEFENSE</t>
  </si>
  <si>
    <t>SBA301   |   TỔNG HỢP ĐIỂM 3 VÒNG</t>
  </si>
  <si>
    <t>Dựa trên SBA301 Assignment Interview Guide; điều chỉnh phù hợp SBA301 project nhóm và 3 vòng đánh giá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</si>
</sst>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name val="Carlito"/>
    </font>
    <font>
      <b/>
      <sz val="16"/>
      <color rgb="FFFFFFFF"/>
      <name val="Carlito"/>
    </font>
    <font>
      <sz val="11"/>
      <color rgb="FF17324D"/>
      <name val="Carlito"/>
    </font>
    <font>
      <b/>
      <sz val="11"/>
      <color rgb="FF007F78"/>
      <name val="Carlito"/>
    </font>
    <font>
      <b/>
      <sz val="11"/>
      <color rgb="FFFFFFFF"/>
      <name val="Carlito"/>
    </font>
    <font>
      <b/>
      <sz val="11"/>
      <color rgb="FF17324D"/>
      <name val="Carlito"/>
    </font>
    <font>
      <sz val="11"/>
      <color rgb="FF607387"/>
      <name val="Carlito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7F3F4"/>
      </patternFill>
    </fill>
    <fill>
      <patternFill patternType="solid">
        <fgColor rgb="FF235E83"/>
      </patternFill>
    </fill>
    <fill>
      <patternFill patternType="solid">
        <fgColor rgb="FFFFF2C7"/>
      </patternFill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FF99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4" borderId="0" xfId="0" applyFont="1" applyFill="1"/>
    <xf numFmtId="0" fontId="4" fillId="4" borderId="0" xfId="0" applyFont="1" applyFill="1" applyAlignment="1">
      <alignment horizontal="center" vertical="center" wrapText="1"/>
    </xf>
    <xf numFmtId="164" fontId="0" fillId="5" borderId="0" xfId="0" applyNumberFormat="1" applyFill="1" applyAlignment="1">
      <alignment horizontal="center"/>
    </xf>
    <xf numFmtId="0" fontId="5" fillId="3" borderId="0" xfId="0" applyFont="1" applyFill="1"/>
    <xf numFmtId="164" fontId="5" fillId="3" borderId="0" xfId="0" applyNumberFormat="1" applyFont="1" applyFill="1"/>
    <xf numFmtId="0" fontId="3" fillId="3" borderId="0" xfId="0" applyFont="1" applyFill="1"/>
    <xf numFmtId="9" fontId="0" fillId="0" borderId="0" xfId="0" applyNumberFormat="1"/>
    <xf numFmtId="9" fontId="0" fillId="5" borderId="0" xfId="0" applyNumberFormat="1" applyFill="1"/>
    <xf numFmtId="2" fontId="5" fillId="3" borderId="0" xfId="0" applyNumberFormat="1" applyFont="1" applyFill="1"/>
    <xf numFmtId="0" fontId="0" fillId="0" borderId="0" xfId="0" applyAlignment="1">
      <alignment wrapText="1"/>
    </xf>
    <xf numFmtId="0" fontId="7" fillId="6" borderId="1" xfId="0" applyFont="1" applyFill="1" applyBorder="1" applyAlignment="1">
      <alignment wrapText="1"/>
    </xf>
    <xf numFmtId="0" fontId="7" fillId="7" borderId="1" xfId="0" applyFont="1" applyFill="1" applyBorder="1" applyAlignment="1">
      <alignment wrapText="1"/>
    </xf>
    <xf numFmtId="0" fontId="7" fillId="8" borderId="1" xfId="0" applyFont="1" applyFill="1" applyBorder="1" applyAlignment="1">
      <alignment wrapText="1"/>
    </xf>
    <xf numFmtId="0" fontId="7" fillId="9" borderId="1" xfId="0" applyFont="1" applyFill="1" applyBorder="1" applyAlignment="1">
      <alignment wrapText="1"/>
    </xf>
    <xf numFmtId="0" fontId="8" fillId="6" borderId="1" xfId="0" applyFont="1" applyFill="1" applyBorder="1" applyAlignment="1">
      <alignment horizontal="right" wrapText="1"/>
    </xf>
    <xf numFmtId="0" fontId="8" fillId="7" borderId="1" xfId="0" applyFont="1" applyFill="1" applyBorder="1" applyAlignment="1">
      <alignment horizontal="right" wrapText="1"/>
    </xf>
    <xf numFmtId="0" fontId="8" fillId="8" borderId="1" xfId="0" applyFont="1" applyFill="1" applyBorder="1" applyAlignment="1">
      <alignment horizontal="right" wrapText="1"/>
    </xf>
    <xf numFmtId="0" fontId="8" fillId="9" borderId="1" xfId="0" applyFont="1" applyFill="1" applyBorder="1" applyAlignment="1">
      <alignment horizontal="right" wrapText="1"/>
    </xf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3" fillId="0" borderId="0" xfId="0" applyFont="1"/>
    <xf numFmtId="0" fontId="0" fillId="0" borderId="0" xfId="0"/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workbookViewId="0">
      <pane ySplit="8" topLeftCell="A9" activePane="bottomLeft" state="frozen"/>
      <selection pane="bottomLeft" activeCell="F9" sqref="F9"/>
    </sheetView>
  </sheetViews>
  <sheetFormatPr defaultRowHeight="13.8"/>
  <cols>
    <col min="1" max="1" width="11" customWidth="1"/>
    <col min="2" max="2" width="16" customWidth="1"/>
    <col min="3" max="3" width="27" customWidth="1"/>
    <col min="4" max="4" width="19" customWidth="1"/>
    <col min="5" max="5" width="22" customWidth="1"/>
    <col min="6" max="6" width="20" customWidth="1"/>
    <col min="7" max="8" width="22" customWidth="1"/>
    <col min="9" max="9" width="14" customWidth="1"/>
    <col min="10" max="10" width="62" customWidth="1"/>
  </cols>
  <sheetData>
    <row r="1" spans="1:10" ht="27" customHeight="1">
      <c r="A1" s="19" t="s">
        <v>134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7" customHeight="1">
      <c r="A2" s="19"/>
      <c r="B2" s="19"/>
      <c r="C2" s="19"/>
      <c r="D2" s="19"/>
      <c r="E2" s="19"/>
      <c r="F2" s="19"/>
      <c r="G2" s="19"/>
      <c r="H2" s="19"/>
      <c r="I2" s="19"/>
      <c r="J2" s="19"/>
    </row>
    <row r="3" spans="1:10" ht="27" customHeight="1">
      <c r="A3" s="20" t="s">
        <v>0</v>
      </c>
      <c r="B3" s="20"/>
      <c r="C3" s="20"/>
      <c r="D3" s="20"/>
      <c r="E3" s="20"/>
      <c r="F3" s="20"/>
      <c r="G3" s="20"/>
      <c r="H3" s="20"/>
      <c r="I3" s="20"/>
      <c r="J3" s="20"/>
    </row>
    <row r="5" spans="1:10" ht="28.05" customHeight="1">
      <c r="A5" s="21" t="s">
        <v>1</v>
      </c>
      <c r="B5" s="21"/>
      <c r="C5" s="21"/>
      <c r="D5" s="21"/>
      <c r="E5" s="21"/>
      <c r="F5" s="21"/>
      <c r="G5" s="21"/>
      <c r="H5" s="21"/>
      <c r="I5" s="21"/>
      <c r="J5" s="21"/>
    </row>
    <row r="6" spans="1:10">
      <c r="A6" s="22" t="s">
        <v>2</v>
      </c>
      <c r="B6" s="22"/>
      <c r="C6" s="22"/>
      <c r="D6" s="22"/>
      <c r="E6" s="22"/>
      <c r="F6" s="22"/>
      <c r="G6" s="22"/>
      <c r="H6" s="22"/>
      <c r="I6" s="22"/>
      <c r="J6" s="22"/>
    </row>
    <row r="8" spans="1:10" ht="49.05" customHeight="1" thickBot="1">
      <c r="A8" s="2" t="s">
        <v>3</v>
      </c>
      <c r="B8" s="2" t="s">
        <v>4</v>
      </c>
      <c r="C8" s="2" t="s">
        <v>5</v>
      </c>
      <c r="D8" s="2" t="s">
        <v>6</v>
      </c>
      <c r="E8" s="2" t="s">
        <v>7</v>
      </c>
      <c r="F8" s="2" t="s">
        <v>8</v>
      </c>
      <c r="G8" s="2" t="s">
        <v>9</v>
      </c>
      <c r="H8" s="2" t="s">
        <v>10</v>
      </c>
      <c r="I8" s="2" t="s">
        <v>11</v>
      </c>
      <c r="J8" s="2" t="s">
        <v>12</v>
      </c>
    </row>
    <row r="9" spans="1:10" ht="22.95" customHeight="1" thickBot="1">
      <c r="A9" s="15">
        <v>1</v>
      </c>
      <c r="B9" s="11" t="s">
        <v>76</v>
      </c>
      <c r="C9" t="s">
        <v>105</v>
      </c>
      <c r="F9" s="3"/>
      <c r="G9" s="3"/>
      <c r="H9" s="3"/>
      <c r="I9" s="5" t="str">
        <f t="shared" ref="I9:I38" si="0">IF(OR(B9="",COUNT(F9:H9)&lt;3),"",SUM(F9:H9))</f>
        <v/>
      </c>
    </row>
    <row r="10" spans="1:10" ht="22.95" customHeight="1" thickBot="1">
      <c r="A10" s="15">
        <v>1</v>
      </c>
      <c r="B10" s="11" t="s">
        <v>77</v>
      </c>
      <c r="C10" t="s">
        <v>106</v>
      </c>
      <c r="F10" s="3"/>
      <c r="G10" s="3"/>
      <c r="H10" s="3"/>
      <c r="I10" s="5" t="str">
        <f t="shared" si="0"/>
        <v/>
      </c>
    </row>
    <row r="11" spans="1:10" ht="22.95" customHeight="1" thickBot="1">
      <c r="A11" s="15">
        <v>1</v>
      </c>
      <c r="B11" s="11" t="s">
        <v>78</v>
      </c>
      <c r="C11" t="s">
        <v>107</v>
      </c>
      <c r="F11" s="3"/>
      <c r="G11" s="3"/>
      <c r="H11" s="3"/>
      <c r="I11" s="5" t="str">
        <f t="shared" si="0"/>
        <v/>
      </c>
    </row>
    <row r="12" spans="1:10" ht="22.95" customHeight="1" thickBot="1">
      <c r="A12" s="15">
        <v>1</v>
      </c>
      <c r="B12" s="11" t="s">
        <v>79</v>
      </c>
      <c r="C12" t="s">
        <v>108</v>
      </c>
      <c r="F12" s="3"/>
      <c r="G12" s="3"/>
      <c r="H12" s="3"/>
      <c r="I12" s="5" t="str">
        <f t="shared" si="0"/>
        <v/>
      </c>
    </row>
    <row r="13" spans="1:10" ht="22.95" customHeight="1" thickBot="1">
      <c r="A13" s="15">
        <v>1</v>
      </c>
      <c r="B13" s="11" t="s">
        <v>80</v>
      </c>
      <c r="C13" t="s">
        <v>109</v>
      </c>
      <c r="F13" s="3"/>
      <c r="G13" s="3"/>
      <c r="H13" s="3"/>
      <c r="I13" s="5" t="str">
        <f t="shared" si="0"/>
        <v/>
      </c>
    </row>
    <row r="14" spans="1:10" ht="22.95" customHeight="1" thickBot="1">
      <c r="A14" s="16">
        <v>2</v>
      </c>
      <c r="B14" s="12" t="s">
        <v>81</v>
      </c>
      <c r="C14" t="s">
        <v>110</v>
      </c>
      <c r="F14" s="3"/>
      <c r="G14" s="3"/>
      <c r="H14" s="3"/>
      <c r="I14" s="5" t="str">
        <f t="shared" si="0"/>
        <v/>
      </c>
    </row>
    <row r="15" spans="1:10" ht="22.95" customHeight="1" thickBot="1">
      <c r="A15" s="16">
        <v>2</v>
      </c>
      <c r="B15" s="12" t="s">
        <v>82</v>
      </c>
      <c r="C15" t="s">
        <v>111</v>
      </c>
      <c r="F15" s="3"/>
      <c r="G15" s="3"/>
      <c r="H15" s="3"/>
      <c r="I15" s="5" t="str">
        <f t="shared" si="0"/>
        <v/>
      </c>
    </row>
    <row r="16" spans="1:10" ht="22.95" customHeight="1" thickBot="1">
      <c r="A16" s="16">
        <v>2</v>
      </c>
      <c r="B16" s="12" t="s">
        <v>83</v>
      </c>
      <c r="C16" t="s">
        <v>112</v>
      </c>
      <c r="F16" s="3"/>
      <c r="G16" s="3"/>
      <c r="H16" s="3"/>
      <c r="I16" s="5" t="str">
        <f t="shared" si="0"/>
        <v/>
      </c>
    </row>
    <row r="17" spans="1:9" ht="22.95" customHeight="1" thickBot="1">
      <c r="A17" s="16">
        <v>2</v>
      </c>
      <c r="B17" s="12" t="s">
        <v>84</v>
      </c>
      <c r="C17" t="s">
        <v>113</v>
      </c>
      <c r="F17" s="3"/>
      <c r="G17" s="3"/>
      <c r="H17" s="3"/>
      <c r="I17" s="5" t="str">
        <f t="shared" si="0"/>
        <v/>
      </c>
    </row>
    <row r="18" spans="1:9" ht="22.95" customHeight="1" thickBot="1">
      <c r="A18" s="16">
        <v>2</v>
      </c>
      <c r="B18" s="12" t="s">
        <v>85</v>
      </c>
      <c r="C18" t="s">
        <v>114</v>
      </c>
      <c r="F18" s="3"/>
      <c r="G18" s="3"/>
      <c r="H18" s="3"/>
      <c r="I18" s="5" t="str">
        <f t="shared" si="0"/>
        <v/>
      </c>
    </row>
    <row r="19" spans="1:9" ht="22.95" customHeight="1" thickBot="1">
      <c r="A19" s="15">
        <v>3</v>
      </c>
      <c r="B19" s="11" t="s">
        <v>86</v>
      </c>
      <c r="C19" t="s">
        <v>115</v>
      </c>
      <c r="F19" s="3"/>
      <c r="G19" s="3"/>
      <c r="H19" s="3"/>
      <c r="I19" s="5" t="str">
        <f t="shared" si="0"/>
        <v/>
      </c>
    </row>
    <row r="20" spans="1:9" ht="22.95" customHeight="1" thickBot="1">
      <c r="A20" s="15">
        <v>3</v>
      </c>
      <c r="B20" s="11" t="s">
        <v>87</v>
      </c>
      <c r="C20" t="s">
        <v>116</v>
      </c>
      <c r="F20" s="3"/>
      <c r="G20" s="3"/>
      <c r="H20" s="3"/>
      <c r="I20" s="5" t="str">
        <f t="shared" si="0"/>
        <v/>
      </c>
    </row>
    <row r="21" spans="1:9" ht="22.95" customHeight="1" thickBot="1">
      <c r="A21" s="15">
        <v>3</v>
      </c>
      <c r="B21" s="11" t="s">
        <v>88</v>
      </c>
      <c r="C21" t="s">
        <v>117</v>
      </c>
      <c r="F21" s="3"/>
      <c r="G21" s="3"/>
      <c r="H21" s="3"/>
      <c r="I21" s="5" t="str">
        <f t="shared" si="0"/>
        <v/>
      </c>
    </row>
    <row r="22" spans="1:9" ht="22.95" customHeight="1" thickBot="1">
      <c r="A22" s="15">
        <v>3</v>
      </c>
      <c r="B22" s="11" t="s">
        <v>89</v>
      </c>
      <c r="C22" t="s">
        <v>118</v>
      </c>
      <c r="F22" s="3"/>
      <c r="G22" s="3"/>
      <c r="H22" s="3"/>
      <c r="I22" s="5" t="str">
        <f t="shared" si="0"/>
        <v/>
      </c>
    </row>
    <row r="23" spans="1:9" ht="22.95" customHeight="1" thickBot="1">
      <c r="A23" s="15">
        <v>3</v>
      </c>
      <c r="B23" s="11" t="s">
        <v>90</v>
      </c>
      <c r="C23" t="s">
        <v>119</v>
      </c>
      <c r="F23" s="3"/>
      <c r="G23" s="3"/>
      <c r="H23" s="3"/>
      <c r="I23" s="5" t="str">
        <f t="shared" si="0"/>
        <v/>
      </c>
    </row>
    <row r="24" spans="1:9" ht="22.95" customHeight="1" thickBot="1">
      <c r="A24" s="17">
        <v>4</v>
      </c>
      <c r="B24" s="13" t="s">
        <v>91</v>
      </c>
      <c r="C24" t="s">
        <v>120</v>
      </c>
      <c r="F24" s="3"/>
      <c r="G24" s="3"/>
      <c r="H24" s="3"/>
      <c r="I24" s="5" t="str">
        <f t="shared" si="0"/>
        <v/>
      </c>
    </row>
    <row r="25" spans="1:9" ht="22.95" customHeight="1" thickBot="1">
      <c r="A25" s="17">
        <v>4</v>
      </c>
      <c r="B25" s="13" t="s">
        <v>92</v>
      </c>
      <c r="C25" t="s">
        <v>121</v>
      </c>
      <c r="F25" s="3"/>
      <c r="G25" s="3"/>
      <c r="H25" s="3"/>
      <c r="I25" s="5" t="str">
        <f t="shared" si="0"/>
        <v/>
      </c>
    </row>
    <row r="26" spans="1:9" ht="22.95" customHeight="1" thickBot="1">
      <c r="A26" s="17">
        <v>4</v>
      </c>
      <c r="B26" s="13" t="s">
        <v>93</v>
      </c>
      <c r="C26" t="s">
        <v>122</v>
      </c>
      <c r="F26" s="3"/>
      <c r="G26" s="3"/>
      <c r="H26" s="3"/>
      <c r="I26" s="5" t="str">
        <f t="shared" si="0"/>
        <v/>
      </c>
    </row>
    <row r="27" spans="1:9" ht="22.95" customHeight="1" thickBot="1">
      <c r="A27" s="17">
        <v>4</v>
      </c>
      <c r="B27" s="13" t="s">
        <v>94</v>
      </c>
      <c r="C27" t="s">
        <v>123</v>
      </c>
      <c r="F27" s="3"/>
      <c r="G27" s="3"/>
      <c r="H27" s="3"/>
      <c r="I27" s="5" t="str">
        <f t="shared" si="0"/>
        <v/>
      </c>
    </row>
    <row r="28" spans="1:9" ht="22.95" customHeight="1" thickBot="1">
      <c r="A28" s="17">
        <v>4</v>
      </c>
      <c r="B28" s="13" t="s">
        <v>95</v>
      </c>
      <c r="C28" t="s">
        <v>124</v>
      </c>
      <c r="F28" s="3"/>
      <c r="G28" s="3"/>
      <c r="H28" s="3"/>
      <c r="I28" s="5" t="str">
        <f t="shared" si="0"/>
        <v/>
      </c>
    </row>
    <row r="29" spans="1:9" ht="22.95" customHeight="1" thickBot="1">
      <c r="A29" s="15">
        <v>5</v>
      </c>
      <c r="B29" s="11" t="s">
        <v>96</v>
      </c>
      <c r="C29" t="s">
        <v>125</v>
      </c>
      <c r="F29" s="3"/>
      <c r="G29" s="3"/>
      <c r="H29" s="3"/>
      <c r="I29" s="5" t="str">
        <f t="shared" si="0"/>
        <v/>
      </c>
    </row>
    <row r="30" spans="1:9" ht="22.95" customHeight="1" thickBot="1">
      <c r="A30" s="15">
        <v>5</v>
      </c>
      <c r="B30" s="11" t="s">
        <v>97</v>
      </c>
      <c r="C30" t="s">
        <v>126</v>
      </c>
      <c r="F30" s="3"/>
      <c r="G30" s="3"/>
      <c r="H30" s="3"/>
      <c r="I30" s="5" t="str">
        <f t="shared" si="0"/>
        <v/>
      </c>
    </row>
    <row r="31" spans="1:9" ht="22.95" customHeight="1" thickBot="1">
      <c r="A31" s="15">
        <v>5</v>
      </c>
      <c r="B31" s="11" t="s">
        <v>98</v>
      </c>
      <c r="C31" t="s">
        <v>127</v>
      </c>
      <c r="F31" s="3"/>
      <c r="G31" s="3"/>
      <c r="H31" s="3"/>
      <c r="I31" s="5" t="str">
        <f t="shared" si="0"/>
        <v/>
      </c>
    </row>
    <row r="32" spans="1:9" ht="22.95" customHeight="1" thickBot="1">
      <c r="A32" s="15">
        <v>5</v>
      </c>
      <c r="B32" s="11" t="s">
        <v>99</v>
      </c>
      <c r="C32" t="s">
        <v>128</v>
      </c>
      <c r="F32" s="3"/>
      <c r="G32" s="3"/>
      <c r="H32" s="3"/>
      <c r="I32" s="5" t="str">
        <f t="shared" si="0"/>
        <v/>
      </c>
    </row>
    <row r="33" spans="1:9" ht="22.95" customHeight="1" thickBot="1">
      <c r="A33" s="18">
        <v>6</v>
      </c>
      <c r="B33" s="14" t="s">
        <v>100</v>
      </c>
      <c r="C33" t="s">
        <v>129</v>
      </c>
      <c r="F33" s="3"/>
      <c r="G33" s="3"/>
      <c r="H33" s="3"/>
      <c r="I33" s="5" t="str">
        <f t="shared" si="0"/>
        <v/>
      </c>
    </row>
    <row r="34" spans="1:9" ht="22.95" customHeight="1" thickBot="1">
      <c r="A34" s="18">
        <v>6</v>
      </c>
      <c r="B34" s="14" t="s">
        <v>101</v>
      </c>
      <c r="C34" t="s">
        <v>130</v>
      </c>
      <c r="F34" s="3"/>
      <c r="G34" s="3"/>
      <c r="H34" s="3"/>
      <c r="I34" s="5" t="str">
        <f t="shared" si="0"/>
        <v/>
      </c>
    </row>
    <row r="35" spans="1:9" ht="22.95" customHeight="1" thickBot="1">
      <c r="A35" s="18">
        <v>6</v>
      </c>
      <c r="B35" s="14" t="s">
        <v>102</v>
      </c>
      <c r="C35" t="s">
        <v>131</v>
      </c>
      <c r="F35" s="3"/>
      <c r="G35" s="3"/>
      <c r="H35" s="3"/>
      <c r="I35" s="5" t="str">
        <f t="shared" si="0"/>
        <v/>
      </c>
    </row>
    <row r="36" spans="1:9" ht="22.95" customHeight="1" thickBot="1">
      <c r="A36" s="18">
        <v>6</v>
      </c>
      <c r="B36" s="14" t="s">
        <v>103</v>
      </c>
      <c r="C36" t="s">
        <v>132</v>
      </c>
      <c r="F36" s="3"/>
      <c r="G36" s="3"/>
      <c r="H36" s="3"/>
      <c r="I36" s="5" t="str">
        <f t="shared" si="0"/>
        <v/>
      </c>
    </row>
    <row r="37" spans="1:9" ht="22.95" customHeight="1" thickBot="1">
      <c r="A37" s="18">
        <v>6</v>
      </c>
      <c r="B37" s="14" t="s">
        <v>104</v>
      </c>
      <c r="C37" t="s">
        <v>133</v>
      </c>
      <c r="F37" s="3"/>
      <c r="G37" s="3"/>
      <c r="H37" s="3"/>
      <c r="I37" s="5" t="str">
        <f t="shared" si="0"/>
        <v/>
      </c>
    </row>
    <row r="38" spans="1:9" ht="22.95" customHeight="1">
      <c r="F38" s="3"/>
      <c r="G38" s="3"/>
      <c r="H38" s="3"/>
      <c r="I38" s="5" t="str">
        <f t="shared" si="0"/>
        <v/>
      </c>
    </row>
  </sheetData>
  <mergeCells count="4">
    <mergeCell ref="A1:J2"/>
    <mergeCell ref="A3:J3"/>
    <mergeCell ref="A5:J5"/>
    <mergeCell ref="A6:J6"/>
  </mergeCells>
  <conditionalFormatting sqref="F9:F38">
    <cfRule type="dataBar" priority="1">
      <dataBar>
        <cfvo type="min"/>
        <cfvo type="max"/>
        <color rgb="FF007F78"/>
      </dataBar>
    </cfRule>
    <cfRule type="dataBar" priority="4">
      <dataBar>
        <cfvo type="min"/>
        <cfvo type="max"/>
        <color rgb="FF007F78"/>
      </dataBar>
      <extLst>
        <ext xmlns:x14="http://schemas.microsoft.com/office/spreadsheetml/2009/9/main" uri="{B025F937-C7B1-47D3-B67F-A62EFF666E3E}">
          <x14:id>{AB2F1020-1AA4-1CFE-8A43-6EA61F19B06B}</x14:id>
        </ext>
      </extLst>
    </cfRule>
  </conditionalFormatting>
  <conditionalFormatting sqref="G9:G38">
    <cfRule type="dataBar" priority="2">
      <dataBar>
        <cfvo type="min"/>
        <cfvo type="max"/>
        <color rgb="FF007F78"/>
      </dataBar>
    </cfRule>
    <cfRule type="dataBar" priority="5">
      <dataBar>
        <cfvo type="min"/>
        <cfvo type="max"/>
        <color rgb="FF007F78"/>
      </dataBar>
      <extLst>
        <ext xmlns:x14="http://schemas.microsoft.com/office/spreadsheetml/2009/9/main" uri="{B025F937-C7B1-47D3-B67F-A62EFF666E3E}">
          <x14:id>{532BFBA9-8274-902E-3AB5-82F3F878BB26}</x14:id>
        </ext>
      </extLst>
    </cfRule>
  </conditionalFormatting>
  <conditionalFormatting sqref="H9:H38">
    <cfRule type="dataBar" priority="3">
      <dataBar>
        <cfvo type="min"/>
        <cfvo type="max"/>
        <color rgb="FF007F78"/>
      </dataBar>
    </cfRule>
    <cfRule type="dataBar" priority="6">
      <dataBar>
        <cfvo type="min"/>
        <cfvo type="max"/>
        <color rgb="FF007F78"/>
      </dataBar>
      <extLst>
        <ext xmlns:x14="http://schemas.microsoft.com/office/spreadsheetml/2009/9/main" uri="{B025F937-C7B1-47D3-B67F-A62EFF666E3E}">
          <x14:id>{44AD740C-2976-C4A3-FBF0-53369532E670}</x14:id>
        </ext>
      </extLst>
    </cfRule>
  </conditionalFormatting>
  <dataValidations count="3">
    <dataValidation type="list" sqref="F9:F38" xr:uid="{00000000-0002-0000-0000-000000000000}">
      <formula1>"0.0,0.5,1.0,1.5,2.0,2.5"</formula1>
    </dataValidation>
    <dataValidation type="list" sqref="G9:G38" xr:uid="{00000000-0002-0000-0000-000001000000}">
      <formula1>"0.0,0.5,1.0,1.5,2.0,2.5,3.0"</formula1>
    </dataValidation>
    <dataValidation type="list" sqref="H9:H38" xr:uid="{00000000-0002-0000-0000-000002000000}">
      <formula1>"0.0,0.5,1.0,1.5,2.0,2.5,3.0,3.5,4.0,4.5"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2F1020-1AA4-1CFE-8A43-6EA61F19B06B}">
            <x14:dataBar>
              <x14:cfvo type="min"/>
              <x14:cfvo type="max"/>
              <x14:negativeFillColor auto="1"/>
              <x14:axisColor auto="1"/>
            </x14:dataBar>
          </x14:cfRule>
          <xm:sqref>F9:F38</xm:sqref>
        </x14:conditionalFormatting>
        <x14:conditionalFormatting xmlns:xm="http://schemas.microsoft.com/office/excel/2006/main">
          <x14:cfRule type="dataBar" id="{532BFBA9-8274-902E-3AB5-82F3F878BB26}">
            <x14:dataBar>
              <x14:cfvo type="min"/>
              <x14:cfvo type="max"/>
              <x14:negativeFillColor auto="1"/>
              <x14:axisColor auto="1"/>
            </x14:dataBar>
          </x14:cfRule>
          <xm:sqref>G9:G38</xm:sqref>
        </x14:conditionalFormatting>
        <x14:conditionalFormatting xmlns:xm="http://schemas.microsoft.com/office/excel/2006/main">
          <x14:cfRule type="dataBar" id="{44AD740C-2976-C4A3-FBF0-53369532E670}">
            <x14:dataBar>
              <x14:cfvo type="min"/>
              <x14:cfvo type="max"/>
              <x14:negativeFillColor auto="1"/>
              <x14:axisColor auto="1"/>
            </x14:dataBar>
          </x14:cfRule>
          <xm:sqref>H9:H38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8"/>
  <sheetViews>
    <sheetView workbookViewId="0">
      <pane ySplit="8" topLeftCell="A9" activePane="bottomLeft" state="frozen"/>
      <selection pane="bottomLeft" sqref="A1:J2"/>
    </sheetView>
  </sheetViews>
  <sheetFormatPr defaultRowHeight="13.8"/>
  <cols>
    <col min="1" max="1" width="11" customWidth="1"/>
    <col min="2" max="2" width="16" customWidth="1"/>
    <col min="3" max="3" width="27" customWidth="1"/>
    <col min="4" max="4" width="19" customWidth="1"/>
    <col min="5" max="5" width="22" customWidth="1"/>
    <col min="6" max="6" width="20" customWidth="1"/>
    <col min="7" max="8" width="22" customWidth="1"/>
    <col min="9" max="9" width="14" customWidth="1"/>
    <col min="10" max="10" width="62" customWidth="1"/>
  </cols>
  <sheetData>
    <row r="1" spans="1:10" ht="27" customHeight="1">
      <c r="A1" s="19" t="s">
        <v>135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7" customHeight="1">
      <c r="A2" s="19"/>
      <c r="B2" s="19"/>
      <c r="C2" s="19"/>
      <c r="D2" s="19"/>
      <c r="E2" s="19"/>
      <c r="F2" s="19"/>
      <c r="G2" s="19"/>
      <c r="H2" s="19"/>
      <c r="I2" s="19"/>
      <c r="J2" s="19"/>
    </row>
    <row r="3" spans="1:10" ht="27" customHeight="1">
      <c r="A3" s="20" t="s">
        <v>0</v>
      </c>
      <c r="B3" s="20"/>
      <c r="C3" s="20"/>
      <c r="D3" s="20"/>
      <c r="E3" s="20"/>
      <c r="F3" s="20"/>
      <c r="G3" s="20"/>
      <c r="H3" s="20"/>
      <c r="I3" s="20"/>
      <c r="J3" s="20"/>
    </row>
    <row r="5" spans="1:10" ht="28.05" customHeight="1">
      <c r="A5" s="21" t="s">
        <v>13</v>
      </c>
      <c r="B5" s="21"/>
      <c r="C5" s="21"/>
      <c r="D5" s="21"/>
      <c r="E5" s="21"/>
      <c r="F5" s="21"/>
      <c r="G5" s="21"/>
      <c r="H5" s="21"/>
      <c r="I5" s="21"/>
      <c r="J5" s="21"/>
    </row>
    <row r="6" spans="1:10">
      <c r="A6" s="22" t="s">
        <v>2</v>
      </c>
      <c r="B6" s="22"/>
      <c r="C6" s="22"/>
      <c r="D6" s="22"/>
      <c r="E6" s="22"/>
      <c r="F6" s="22"/>
      <c r="G6" s="22"/>
      <c r="H6" s="22"/>
      <c r="I6" s="22"/>
      <c r="J6" s="22"/>
    </row>
    <row r="8" spans="1:10" ht="49.05" customHeight="1">
      <c r="A8" s="2" t="s">
        <v>3</v>
      </c>
      <c r="B8" s="2" t="s">
        <v>4</v>
      </c>
      <c r="C8" s="2" t="s">
        <v>5</v>
      </c>
      <c r="D8" s="2" t="s">
        <v>6</v>
      </c>
      <c r="E8" s="2" t="s">
        <v>7</v>
      </c>
      <c r="F8" s="2" t="s">
        <v>8</v>
      </c>
      <c r="G8" s="2" t="s">
        <v>9</v>
      </c>
      <c r="H8" s="2" t="s">
        <v>10</v>
      </c>
      <c r="I8" s="2" t="s">
        <v>11</v>
      </c>
      <c r="J8" s="2" t="s">
        <v>12</v>
      </c>
    </row>
    <row r="9" spans="1:10" ht="22.95" customHeight="1">
      <c r="A9">
        <f>IF('Checkpoint 1'!B9="","",'Checkpoint 1'!A9)</f>
        <v>1</v>
      </c>
      <c r="B9" t="str">
        <f>IF('Checkpoint 1'!B9="","",'Checkpoint 1'!B9)</f>
        <v>CE181052</v>
      </c>
      <c r="C9" t="str">
        <f>IF('Checkpoint 1'!B9="","",'Checkpoint 1'!C9)</f>
        <v>Lê Hữu Nghĩa</v>
      </c>
      <c r="F9" s="3"/>
      <c r="G9" s="3"/>
      <c r="H9" s="3"/>
      <c r="I9" s="5" t="str">
        <f t="shared" ref="I9:I38" si="0">IF(OR(B9="",COUNT(F9:H9)&lt;3),"",SUM(F9:H9))</f>
        <v/>
      </c>
    </row>
    <row r="10" spans="1:10" ht="22.95" customHeight="1">
      <c r="A10">
        <f>IF('Checkpoint 1'!B10="","",'Checkpoint 1'!A10)</f>
        <v>1</v>
      </c>
      <c r="B10" t="str">
        <f>IF('Checkpoint 1'!B10="","",'Checkpoint 1'!B10)</f>
        <v>CE181532</v>
      </c>
      <c r="C10" t="str">
        <f>IF('Checkpoint 1'!B10="","",'Checkpoint 1'!C10)</f>
        <v>Trần Hiền Diệu</v>
      </c>
      <c r="F10" s="3"/>
      <c r="G10" s="3"/>
      <c r="H10" s="3"/>
      <c r="I10" s="5" t="str">
        <f t="shared" si="0"/>
        <v/>
      </c>
    </row>
    <row r="11" spans="1:10" ht="22.95" customHeight="1">
      <c r="A11">
        <f>IF('Checkpoint 1'!B11="","",'Checkpoint 1'!A11)</f>
        <v>1</v>
      </c>
      <c r="B11" t="str">
        <f>IF('Checkpoint 1'!B11="","",'Checkpoint 1'!B11)</f>
        <v>CE182078</v>
      </c>
      <c r="C11" t="str">
        <f>IF('Checkpoint 1'!B11="","",'Checkpoint 1'!C11)</f>
        <v>Tăng Minh Vinh Quang</v>
      </c>
      <c r="F11" s="3"/>
      <c r="G11" s="3"/>
      <c r="H11" s="3"/>
      <c r="I11" s="5" t="str">
        <f t="shared" si="0"/>
        <v/>
      </c>
    </row>
    <row r="12" spans="1:10" ht="22.95" customHeight="1">
      <c r="A12">
        <f>IF('Checkpoint 1'!B12="","",'Checkpoint 1'!A12)</f>
        <v>1</v>
      </c>
      <c r="B12" t="str">
        <f>IF('Checkpoint 1'!B12="","",'Checkpoint 1'!B12)</f>
        <v>CE190386</v>
      </c>
      <c r="C12" t="str">
        <f>IF('Checkpoint 1'!B12="","",'Checkpoint 1'!C12)</f>
        <v>Châu Gia Huy</v>
      </c>
      <c r="F12" s="3"/>
      <c r="G12" s="3"/>
      <c r="H12" s="3"/>
      <c r="I12" s="5" t="str">
        <f t="shared" si="0"/>
        <v/>
      </c>
    </row>
    <row r="13" spans="1:10" ht="22.95" customHeight="1">
      <c r="A13">
        <f>IF('Checkpoint 1'!B13="","",'Checkpoint 1'!A13)</f>
        <v>1</v>
      </c>
      <c r="B13" t="str">
        <f>IF('Checkpoint 1'!B13="","",'Checkpoint 1'!B13)</f>
        <v>CE190979</v>
      </c>
      <c r="C13" t="str">
        <f>IF('Checkpoint 1'!B13="","",'Checkpoint 1'!C13)</f>
        <v>Nguyễn Huỳnh Thiên Ân</v>
      </c>
      <c r="F13" s="3"/>
      <c r="G13" s="3"/>
      <c r="H13" s="3"/>
      <c r="I13" s="5" t="str">
        <f t="shared" si="0"/>
        <v/>
      </c>
    </row>
    <row r="14" spans="1:10" ht="22.95" customHeight="1">
      <c r="A14">
        <f>IF('Checkpoint 1'!B14="","",'Checkpoint 1'!A14)</f>
        <v>2</v>
      </c>
      <c r="B14" t="str">
        <f>IF('Checkpoint 1'!B14="","",'Checkpoint 1'!B14)</f>
        <v>CE190213</v>
      </c>
      <c r="C14" t="str">
        <f>IF('Checkpoint 1'!B14="","",'Checkpoint 1'!C14)</f>
        <v>Đái Minh Như</v>
      </c>
      <c r="F14" s="3"/>
      <c r="G14" s="3"/>
      <c r="H14" s="3"/>
      <c r="I14" s="5" t="str">
        <f t="shared" si="0"/>
        <v/>
      </c>
    </row>
    <row r="15" spans="1:10" ht="22.95" customHeight="1">
      <c r="A15">
        <f>IF('Checkpoint 1'!B15="","",'Checkpoint 1'!A15)</f>
        <v>2</v>
      </c>
      <c r="B15" t="str">
        <f>IF('Checkpoint 1'!B15="","",'Checkpoint 1'!B15)</f>
        <v>CE190603</v>
      </c>
      <c r="C15" t="str">
        <f>IF('Checkpoint 1'!B15="","",'Checkpoint 1'!C15)</f>
        <v>Huỳnh Thái Duy Phương</v>
      </c>
      <c r="F15" s="3"/>
      <c r="G15" s="3"/>
      <c r="H15" s="3"/>
      <c r="I15" s="5" t="str">
        <f t="shared" si="0"/>
        <v/>
      </c>
    </row>
    <row r="16" spans="1:10" ht="22.95" customHeight="1">
      <c r="A16">
        <f>IF('Checkpoint 1'!B16="","",'Checkpoint 1'!A16)</f>
        <v>2</v>
      </c>
      <c r="B16" t="str">
        <f>IF('Checkpoint 1'!B16="","",'Checkpoint 1'!B16)</f>
        <v>CE190757</v>
      </c>
      <c r="C16" t="str">
        <f>IF('Checkpoint 1'!B16="","",'Checkpoint 1'!C16)</f>
        <v>Trương Bình Trọng</v>
      </c>
      <c r="F16" s="3"/>
      <c r="G16" s="3"/>
      <c r="H16" s="3"/>
      <c r="I16" s="5" t="str">
        <f t="shared" si="0"/>
        <v/>
      </c>
    </row>
    <row r="17" spans="1:9" ht="22.95" customHeight="1">
      <c r="A17">
        <f>IF('Checkpoint 1'!B17="","",'Checkpoint 1'!A17)</f>
        <v>2</v>
      </c>
      <c r="B17" t="str">
        <f>IF('Checkpoint 1'!B17="","",'Checkpoint 1'!B17)</f>
        <v>CE191594</v>
      </c>
      <c r="C17" t="str">
        <f>IF('Checkpoint 1'!B17="","",'Checkpoint 1'!C17)</f>
        <v>Tiêu Gia Huy</v>
      </c>
      <c r="F17" s="3"/>
      <c r="G17" s="3"/>
      <c r="H17" s="3"/>
      <c r="I17" s="5" t="str">
        <f t="shared" si="0"/>
        <v/>
      </c>
    </row>
    <row r="18" spans="1:9" ht="22.95" customHeight="1">
      <c r="A18">
        <f>IF('Checkpoint 1'!B18="","",'Checkpoint 1'!A18)</f>
        <v>2</v>
      </c>
      <c r="B18" t="str">
        <f>IF('Checkpoint 1'!B18="","",'Checkpoint 1'!B18)</f>
        <v>CS191497</v>
      </c>
      <c r="C18" t="str">
        <f>IF('Checkpoint 1'!B18="","",'Checkpoint 1'!C18)</f>
        <v>Lâm Thành Phát</v>
      </c>
      <c r="F18" s="3"/>
      <c r="G18" s="3"/>
      <c r="H18" s="3"/>
      <c r="I18" s="5" t="str">
        <f t="shared" si="0"/>
        <v/>
      </c>
    </row>
    <row r="19" spans="1:9" ht="22.95" customHeight="1">
      <c r="A19">
        <f>IF('Checkpoint 1'!B19="","",'Checkpoint 1'!A19)</f>
        <v>3</v>
      </c>
      <c r="B19" t="str">
        <f>IF('Checkpoint 1'!B19="","",'Checkpoint 1'!B19)</f>
        <v>CE150499</v>
      </c>
      <c r="C19" t="str">
        <f>IF('Checkpoint 1'!B19="","",'Checkpoint 1'!C19)</f>
        <v>Trần Thị Hồng Mai</v>
      </c>
      <c r="F19" s="3"/>
      <c r="G19" s="3"/>
      <c r="H19" s="3"/>
      <c r="I19" s="5" t="str">
        <f t="shared" si="0"/>
        <v/>
      </c>
    </row>
    <row r="20" spans="1:9" ht="22.95" customHeight="1">
      <c r="A20">
        <f>IF('Checkpoint 1'!B20="","",'Checkpoint 1'!A20)</f>
        <v>3</v>
      </c>
      <c r="B20" t="str">
        <f>IF('Checkpoint 1'!B20="","",'Checkpoint 1'!B20)</f>
        <v>CE181640</v>
      </c>
      <c r="C20" t="str">
        <f>IF('Checkpoint 1'!B20="","",'Checkpoint 1'!C20)</f>
        <v>Lê Huỳnh Nhựt Khanh</v>
      </c>
      <c r="F20" s="3"/>
      <c r="G20" s="3"/>
      <c r="H20" s="3"/>
      <c r="I20" s="5" t="str">
        <f t="shared" si="0"/>
        <v/>
      </c>
    </row>
    <row r="21" spans="1:9" ht="22.95" customHeight="1">
      <c r="A21">
        <f>IF('Checkpoint 1'!B21="","",'Checkpoint 1'!A21)</f>
        <v>3</v>
      </c>
      <c r="B21" t="str">
        <f>IF('Checkpoint 1'!B21="","",'Checkpoint 1'!B21)</f>
        <v>CE181720</v>
      </c>
      <c r="C21" t="str">
        <f>IF('Checkpoint 1'!B21="","",'Checkpoint 1'!C21)</f>
        <v>Huỳnh Trần Phước Sang</v>
      </c>
      <c r="F21" s="3"/>
      <c r="G21" s="3"/>
      <c r="H21" s="3"/>
      <c r="I21" s="5" t="str">
        <f t="shared" si="0"/>
        <v/>
      </c>
    </row>
    <row r="22" spans="1:9" ht="22.95" customHeight="1">
      <c r="A22">
        <f>IF('Checkpoint 1'!B22="","",'Checkpoint 1'!A22)</f>
        <v>3</v>
      </c>
      <c r="B22" t="str">
        <f>IF('Checkpoint 1'!B22="","",'Checkpoint 1'!B22)</f>
        <v>CE190744</v>
      </c>
      <c r="C22" t="str">
        <f>IF('Checkpoint 1'!B22="","",'Checkpoint 1'!C22)</f>
        <v>Trương Đoàn Minh Phúc</v>
      </c>
      <c r="F22" s="3"/>
      <c r="G22" s="3"/>
      <c r="H22" s="3"/>
      <c r="I22" s="5" t="str">
        <f t="shared" si="0"/>
        <v/>
      </c>
    </row>
    <row r="23" spans="1:9" ht="22.95" customHeight="1">
      <c r="A23">
        <f>IF('Checkpoint 1'!B23="","",'Checkpoint 1'!A23)</f>
        <v>3</v>
      </c>
      <c r="B23" t="str">
        <f>IF('Checkpoint 1'!B23="","",'Checkpoint 1'!B23)</f>
        <v>CE190743</v>
      </c>
      <c r="C23" t="str">
        <f>IF('Checkpoint 1'!B23="","",'Checkpoint 1'!C23)</f>
        <v>Nguyễn Hoàng Minh</v>
      </c>
      <c r="F23" s="3"/>
      <c r="G23" s="3"/>
      <c r="H23" s="3"/>
      <c r="I23" s="5" t="str">
        <f t="shared" si="0"/>
        <v/>
      </c>
    </row>
    <row r="24" spans="1:9" ht="22.95" customHeight="1">
      <c r="A24">
        <f>IF('Checkpoint 1'!B24="","",'Checkpoint 1'!A24)</f>
        <v>4</v>
      </c>
      <c r="B24" t="str">
        <f>IF('Checkpoint 1'!B24="","",'Checkpoint 1'!B24)</f>
        <v>CE181654</v>
      </c>
      <c r="C24" t="str">
        <f>IF('Checkpoint 1'!B24="","",'Checkpoint 1'!C24)</f>
        <v>Huỳnh Nguyễn Chí Nghĩa</v>
      </c>
      <c r="F24" s="3"/>
      <c r="G24" s="3"/>
      <c r="H24" s="3"/>
      <c r="I24" s="5" t="str">
        <f t="shared" si="0"/>
        <v/>
      </c>
    </row>
    <row r="25" spans="1:9" ht="22.95" customHeight="1">
      <c r="A25">
        <f>IF('Checkpoint 1'!B25="","",'Checkpoint 1'!A25)</f>
        <v>4</v>
      </c>
      <c r="B25" t="str">
        <f>IF('Checkpoint 1'!B25="","",'Checkpoint 1'!B25)</f>
        <v>CE190387</v>
      </c>
      <c r="C25" t="str">
        <f>IF('Checkpoint 1'!B25="","",'Checkpoint 1'!C25)</f>
        <v>Nguyễn Hữu Tài</v>
      </c>
      <c r="F25" s="3"/>
      <c r="G25" s="3"/>
      <c r="H25" s="3"/>
      <c r="I25" s="5" t="str">
        <f t="shared" si="0"/>
        <v/>
      </c>
    </row>
    <row r="26" spans="1:9" ht="22.95" customHeight="1">
      <c r="A26">
        <f>IF('Checkpoint 1'!B26="","",'Checkpoint 1'!A26)</f>
        <v>4</v>
      </c>
      <c r="B26" t="str">
        <f>IF('Checkpoint 1'!B26="","",'Checkpoint 1'!B26)</f>
        <v>CE190694</v>
      </c>
      <c r="C26" t="str">
        <f>IF('Checkpoint 1'!B26="","",'Checkpoint 1'!C26)</f>
        <v>Trần Gia Đạt</v>
      </c>
      <c r="F26" s="3"/>
      <c r="G26" s="3"/>
      <c r="H26" s="3"/>
      <c r="I26" s="5" t="str">
        <f t="shared" si="0"/>
        <v/>
      </c>
    </row>
    <row r="27" spans="1:9" ht="22.95" customHeight="1">
      <c r="A27">
        <f>IF('Checkpoint 1'!B27="","",'Checkpoint 1'!A27)</f>
        <v>4</v>
      </c>
      <c r="B27" t="str">
        <f>IF('Checkpoint 1'!B27="","",'Checkpoint 1'!B27)</f>
        <v>CE191122</v>
      </c>
      <c r="C27" t="str">
        <f>IF('Checkpoint 1'!B27="","",'Checkpoint 1'!C27)</f>
        <v>Trần Hiếu Nghĩa</v>
      </c>
      <c r="F27" s="3"/>
      <c r="G27" s="3"/>
      <c r="H27" s="3"/>
      <c r="I27" s="5" t="str">
        <f t="shared" si="0"/>
        <v/>
      </c>
    </row>
    <row r="28" spans="1:9" ht="22.95" customHeight="1">
      <c r="A28">
        <f>IF('Checkpoint 1'!B28="","",'Checkpoint 1'!A28)</f>
        <v>4</v>
      </c>
      <c r="B28" t="str">
        <f>IF('Checkpoint 1'!B28="","",'Checkpoint 1'!B28)</f>
        <v>CE191184</v>
      </c>
      <c r="C28" t="str">
        <f>IF('Checkpoint 1'!B28="","",'Checkpoint 1'!C28)</f>
        <v>Ngô Quốc Hưng</v>
      </c>
      <c r="F28" s="3"/>
      <c r="G28" s="3"/>
      <c r="H28" s="3"/>
      <c r="I28" s="5" t="str">
        <f t="shared" si="0"/>
        <v/>
      </c>
    </row>
    <row r="29" spans="1:9" ht="22.95" customHeight="1">
      <c r="A29">
        <f>IF('Checkpoint 1'!B29="","",'Checkpoint 1'!A29)</f>
        <v>5</v>
      </c>
      <c r="B29" t="str">
        <f>IF('Checkpoint 1'!B29="","",'Checkpoint 1'!B29)</f>
        <v>CE190886</v>
      </c>
      <c r="C29" t="str">
        <f>IF('Checkpoint 1'!B29="","",'Checkpoint 1'!C29)</f>
        <v>Nguyễn Hoàng Long</v>
      </c>
      <c r="F29" s="3"/>
      <c r="G29" s="3"/>
      <c r="H29" s="3"/>
      <c r="I29" s="5" t="str">
        <f t="shared" si="0"/>
        <v/>
      </c>
    </row>
    <row r="30" spans="1:9" ht="22.95" customHeight="1">
      <c r="A30">
        <f>IF('Checkpoint 1'!B30="","",'Checkpoint 1'!A30)</f>
        <v>5</v>
      </c>
      <c r="B30" t="str">
        <f>IF('Checkpoint 1'!B30="","",'Checkpoint 1'!B30)</f>
        <v>CE190890</v>
      </c>
      <c r="C30" t="str">
        <f>IF('Checkpoint 1'!B30="","",'Checkpoint 1'!C30)</f>
        <v>Trần Huỳnh Khôi</v>
      </c>
      <c r="F30" s="3"/>
      <c r="G30" s="3"/>
      <c r="H30" s="3"/>
      <c r="I30" s="5" t="str">
        <f t="shared" si="0"/>
        <v/>
      </c>
    </row>
    <row r="31" spans="1:9" ht="22.95" customHeight="1">
      <c r="A31">
        <f>IF('Checkpoint 1'!B31="","",'Checkpoint 1'!A31)</f>
        <v>5</v>
      </c>
      <c r="B31" t="str">
        <f>IF('Checkpoint 1'!B31="","",'Checkpoint 1'!B31)</f>
        <v>CE190895</v>
      </c>
      <c r="C31" t="str">
        <f>IF('Checkpoint 1'!B31="","",'Checkpoint 1'!C31)</f>
        <v>Trần Công Minh</v>
      </c>
      <c r="F31" s="3"/>
      <c r="G31" s="3"/>
      <c r="H31" s="3"/>
      <c r="I31" s="5" t="str">
        <f t="shared" si="0"/>
        <v/>
      </c>
    </row>
    <row r="32" spans="1:9" ht="22.95" customHeight="1">
      <c r="A32">
        <f>IF('Checkpoint 1'!B32="","",'Checkpoint 1'!A32)</f>
        <v>5</v>
      </c>
      <c r="B32" t="str">
        <f>IF('Checkpoint 1'!B32="","",'Checkpoint 1'!B32)</f>
        <v>CE190986</v>
      </c>
      <c r="C32" t="str">
        <f>IF('Checkpoint 1'!B32="","",'Checkpoint 1'!C32)</f>
        <v>Nguyễn Cao Quí</v>
      </c>
      <c r="F32" s="3"/>
      <c r="G32" s="3"/>
      <c r="H32" s="3"/>
      <c r="I32" s="5" t="str">
        <f t="shared" si="0"/>
        <v/>
      </c>
    </row>
    <row r="33" spans="1:9" ht="22.95" customHeight="1">
      <c r="A33">
        <f>IF('Checkpoint 1'!B33="","",'Checkpoint 1'!A33)</f>
        <v>6</v>
      </c>
      <c r="B33" t="str">
        <f>IF('Checkpoint 1'!B33="","",'Checkpoint 1'!B33)</f>
        <v>CE170754</v>
      </c>
      <c r="C33" t="str">
        <f>IF('Checkpoint 1'!B33="","",'Checkpoint 1'!C33)</f>
        <v>Bùi Minh Khang</v>
      </c>
      <c r="F33" s="3"/>
      <c r="G33" s="3"/>
      <c r="H33" s="3"/>
      <c r="I33" s="5" t="str">
        <f t="shared" si="0"/>
        <v/>
      </c>
    </row>
    <row r="34" spans="1:9" ht="22.95" customHeight="1">
      <c r="A34">
        <f>IF('Checkpoint 1'!B34="","",'Checkpoint 1'!A34)</f>
        <v>6</v>
      </c>
      <c r="B34" t="str">
        <f>IF('Checkpoint 1'!B34="","",'Checkpoint 1'!B34)</f>
        <v>CE172083</v>
      </c>
      <c r="C34" t="str">
        <f>IF('Checkpoint 1'!B34="","",'Checkpoint 1'!C34)</f>
        <v>Ngô Việt Trinh</v>
      </c>
      <c r="F34" s="3"/>
      <c r="G34" s="3"/>
      <c r="H34" s="3"/>
      <c r="I34" s="5" t="str">
        <f t="shared" si="0"/>
        <v/>
      </c>
    </row>
    <row r="35" spans="1:9" ht="22.95" customHeight="1">
      <c r="A35">
        <f>IF('Checkpoint 1'!B35="","",'Checkpoint 1'!A35)</f>
        <v>6</v>
      </c>
      <c r="B35" t="str">
        <f>IF('Checkpoint 1'!B35="","",'Checkpoint 1'!B35)</f>
        <v>CE181002</v>
      </c>
      <c r="C35" t="str">
        <f>IF('Checkpoint 1'!B35="","",'Checkpoint 1'!C35)</f>
        <v>Võ Chánh Huy</v>
      </c>
      <c r="F35" s="3"/>
      <c r="G35" s="3"/>
      <c r="H35" s="3"/>
      <c r="I35" s="5" t="str">
        <f t="shared" si="0"/>
        <v/>
      </c>
    </row>
    <row r="36" spans="1:9" ht="22.95" customHeight="1">
      <c r="A36">
        <f>IF('Checkpoint 1'!B36="","",'Checkpoint 1'!A36)</f>
        <v>6</v>
      </c>
      <c r="B36" t="str">
        <f>IF('Checkpoint 1'!B36="","",'Checkpoint 1'!B36)</f>
        <v>CE181211</v>
      </c>
      <c r="C36" t="str">
        <f>IF('Checkpoint 1'!B36="","",'Checkpoint 1'!C36)</f>
        <v>Lê Huỳnh Thiện Hưng</v>
      </c>
      <c r="F36" s="3"/>
      <c r="G36" s="3"/>
      <c r="H36" s="3"/>
      <c r="I36" s="5" t="str">
        <f t="shared" si="0"/>
        <v/>
      </c>
    </row>
    <row r="37" spans="1:9" ht="22.95" customHeight="1">
      <c r="A37">
        <f>IF('Checkpoint 1'!B37="","",'Checkpoint 1'!A37)</f>
        <v>6</v>
      </c>
      <c r="B37" t="str">
        <f>IF('Checkpoint 1'!B37="","",'Checkpoint 1'!B37)</f>
        <v>CE191406</v>
      </c>
      <c r="C37" t="str">
        <f>IF('Checkpoint 1'!B37="","",'Checkpoint 1'!C37)</f>
        <v>Lê Thuận Phát</v>
      </c>
      <c r="F37" s="3"/>
      <c r="G37" s="3"/>
      <c r="H37" s="3"/>
      <c r="I37" s="5" t="str">
        <f t="shared" si="0"/>
        <v/>
      </c>
    </row>
    <row r="38" spans="1:9" ht="22.95" customHeight="1">
      <c r="A38" t="str">
        <f>IF('Checkpoint 1'!B38="","",'Checkpoint 1'!A38)</f>
        <v/>
      </c>
      <c r="B38" t="str">
        <f>IF('Checkpoint 1'!B38="","",'Checkpoint 1'!B38)</f>
        <v/>
      </c>
      <c r="C38" t="str">
        <f>IF('Checkpoint 1'!B38="","",'Checkpoint 1'!C38)</f>
        <v/>
      </c>
      <c r="F38" s="3"/>
      <c r="G38" s="3"/>
      <c r="H38" s="3"/>
      <c r="I38" s="5" t="str">
        <f t="shared" si="0"/>
        <v/>
      </c>
    </row>
  </sheetData>
  <mergeCells count="4">
    <mergeCell ref="A1:J2"/>
    <mergeCell ref="A3:J3"/>
    <mergeCell ref="A5:J5"/>
    <mergeCell ref="A6:J6"/>
  </mergeCells>
  <conditionalFormatting sqref="F9:F38">
    <cfRule type="dataBar" priority="1">
      <dataBar>
        <cfvo type="min"/>
        <cfvo type="max"/>
        <color rgb="FF007F78"/>
      </dataBar>
    </cfRule>
    <cfRule type="dataBar" priority="4">
      <dataBar>
        <cfvo type="min"/>
        <cfvo type="max"/>
        <color rgb="FF007F78"/>
      </dataBar>
      <extLst>
        <ext xmlns:x14="http://schemas.microsoft.com/office/spreadsheetml/2009/9/main" uri="{B025F937-C7B1-47D3-B67F-A62EFF666E3E}">
          <x14:id>{63D5A51B-760C-BBEE-DCE9-694473554F72}</x14:id>
        </ext>
      </extLst>
    </cfRule>
  </conditionalFormatting>
  <conditionalFormatting sqref="G9:G38">
    <cfRule type="dataBar" priority="2">
      <dataBar>
        <cfvo type="min"/>
        <cfvo type="max"/>
        <color rgb="FF007F78"/>
      </dataBar>
    </cfRule>
    <cfRule type="dataBar" priority="5">
      <dataBar>
        <cfvo type="min"/>
        <cfvo type="max"/>
        <color rgb="FF007F78"/>
      </dataBar>
      <extLst>
        <ext xmlns:x14="http://schemas.microsoft.com/office/spreadsheetml/2009/9/main" uri="{B025F937-C7B1-47D3-B67F-A62EFF666E3E}">
          <x14:id>{58C63106-C71A-BDDD-CE3D-1AD7F706CBCB}</x14:id>
        </ext>
      </extLst>
    </cfRule>
  </conditionalFormatting>
  <conditionalFormatting sqref="H9:H38">
    <cfRule type="dataBar" priority="3">
      <dataBar>
        <cfvo type="min"/>
        <cfvo type="max"/>
        <color rgb="FF007F78"/>
      </dataBar>
    </cfRule>
    <cfRule type="dataBar" priority="6">
      <dataBar>
        <cfvo type="min"/>
        <cfvo type="max"/>
        <color rgb="FF007F78"/>
      </dataBar>
      <extLst>
        <ext xmlns:x14="http://schemas.microsoft.com/office/spreadsheetml/2009/9/main" uri="{B025F937-C7B1-47D3-B67F-A62EFF666E3E}">
          <x14:id>{84C21176-88DD-2FAD-4F59-1119BDABFDF9}</x14:id>
        </ext>
      </extLst>
    </cfRule>
  </conditionalFormatting>
  <dataValidations count="3">
    <dataValidation type="list" sqref="F9:F38" xr:uid="{00000000-0002-0000-0100-000000000000}">
      <formula1>"0.0,0.5,1.0,1.5,2.0,2.5"</formula1>
    </dataValidation>
    <dataValidation type="list" sqref="G9:G38" xr:uid="{00000000-0002-0000-0100-000001000000}">
      <formula1>"0.0,0.5,1.0,1.5,2.0,2.5,3.0"</formula1>
    </dataValidation>
    <dataValidation type="list" sqref="H9:H38" xr:uid="{00000000-0002-0000-0100-000002000000}">
      <formula1>"0.0,0.5,1.0,1.5,2.0,2.5,3.0,3.5,4.0,4.5"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D5A51B-760C-BBEE-DCE9-694473554F72}">
            <x14:dataBar>
              <x14:cfvo type="min"/>
              <x14:cfvo type="max"/>
              <x14:negativeFillColor auto="1"/>
              <x14:axisColor auto="1"/>
            </x14:dataBar>
          </x14:cfRule>
          <xm:sqref>F9:F38</xm:sqref>
        </x14:conditionalFormatting>
        <x14:conditionalFormatting xmlns:xm="http://schemas.microsoft.com/office/excel/2006/main">
          <x14:cfRule type="dataBar" id="{58C63106-C71A-BDDD-CE3D-1AD7F706CBCB}">
            <x14:dataBar>
              <x14:cfvo type="min"/>
              <x14:cfvo type="max"/>
              <x14:negativeFillColor auto="1"/>
              <x14:axisColor auto="1"/>
            </x14:dataBar>
          </x14:cfRule>
          <xm:sqref>G9:G38</xm:sqref>
        </x14:conditionalFormatting>
        <x14:conditionalFormatting xmlns:xm="http://schemas.microsoft.com/office/excel/2006/main">
          <x14:cfRule type="dataBar" id="{84C21176-88DD-2FAD-4F59-1119BDABFDF9}">
            <x14:dataBar>
              <x14:cfvo type="min"/>
              <x14:cfvo type="max"/>
              <x14:negativeFillColor auto="1"/>
              <x14:axisColor auto="1"/>
            </x14:dataBar>
          </x14:cfRule>
          <xm:sqref>H9:H38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8"/>
  <sheetViews>
    <sheetView workbookViewId="0">
      <pane ySplit="8" topLeftCell="A15" activePane="bottomLeft" state="frozen"/>
      <selection pane="bottomLeft" activeCell="C29" sqref="C29"/>
    </sheetView>
  </sheetViews>
  <sheetFormatPr defaultRowHeight="13.8"/>
  <cols>
    <col min="1" max="1" width="11" customWidth="1"/>
    <col min="2" max="2" width="16" customWidth="1"/>
    <col min="3" max="3" width="27" customWidth="1"/>
    <col min="4" max="5" width="18" customWidth="1"/>
    <col min="6" max="7" width="17" customWidth="1"/>
    <col min="8" max="9" width="21" customWidth="1"/>
    <col min="10" max="10" width="15" customWidth="1"/>
    <col min="11" max="11" width="16" customWidth="1"/>
    <col min="12" max="12" width="15" customWidth="1"/>
    <col min="13" max="13" width="38" customWidth="1"/>
    <col min="14" max="14" width="43" customWidth="1"/>
  </cols>
  <sheetData>
    <row r="1" spans="1:14" ht="27" customHeight="1">
      <c r="A1" s="19" t="s">
        <v>136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27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ht="27" customHeight="1">
      <c r="A3" s="20" t="s">
        <v>14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5" spans="1:14" ht="27" customHeight="1">
      <c r="A5" s="21" t="s">
        <v>15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8" spans="1:14" ht="49.05" customHeight="1">
      <c r="A8" s="2" t="s">
        <v>3</v>
      </c>
      <c r="B8" s="2" t="s">
        <v>4</v>
      </c>
      <c r="C8" s="2" t="s">
        <v>5</v>
      </c>
      <c r="D8" s="2" t="s">
        <v>16</v>
      </c>
      <c r="E8" s="2" t="s">
        <v>17</v>
      </c>
      <c r="F8" s="2" t="s">
        <v>18</v>
      </c>
      <c r="G8" s="2" t="s">
        <v>19</v>
      </c>
      <c r="H8" s="2" t="s">
        <v>20</v>
      </c>
      <c r="I8" s="2"/>
      <c r="J8" s="2" t="s">
        <v>21</v>
      </c>
      <c r="K8" s="2" t="s">
        <v>22</v>
      </c>
      <c r="L8" s="2" t="s">
        <v>23</v>
      </c>
      <c r="M8" s="2" t="s">
        <v>24</v>
      </c>
      <c r="N8" s="2" t="s">
        <v>25</v>
      </c>
    </row>
    <row r="9" spans="1:14">
      <c r="A9">
        <f>IF('Checkpoint 1'!B9="","",'Checkpoint 1'!A9)</f>
        <v>1</v>
      </c>
      <c r="B9" t="str">
        <f>IF('Checkpoint 1'!B9="","",'Checkpoint 1'!B9)</f>
        <v>CE181052</v>
      </c>
      <c r="C9" t="str">
        <f>IF('Checkpoint 1'!B9="","",'Checkpoint 1'!C9)</f>
        <v>Lê Hữu Nghĩa</v>
      </c>
      <c r="D9" s="3"/>
      <c r="E9" s="3"/>
      <c r="F9" s="3"/>
      <c r="G9" s="3"/>
      <c r="H9" s="3"/>
      <c r="I9" s="3"/>
      <c r="J9" s="4" t="str">
        <f t="shared" ref="J9:J38" si="0">IF(OR(B9="",COUNT(D9:H9)&lt;5),"",SUM(D9:H9))</f>
        <v/>
      </c>
      <c r="K9" s="3"/>
      <c r="L9" s="6" t="str">
        <f t="shared" ref="L9:L38" si="1">IF(OR(J9="",K9=""),"",MIN(10,J9+K9))</f>
        <v/>
      </c>
    </row>
    <row r="10" spans="1:14">
      <c r="A10">
        <f>IF('Checkpoint 1'!B10="","",'Checkpoint 1'!A10)</f>
        <v>1</v>
      </c>
      <c r="B10" t="str">
        <f>IF('Checkpoint 1'!B10="","",'Checkpoint 1'!B10)</f>
        <v>CE181532</v>
      </c>
      <c r="C10" t="str">
        <f>IF('Checkpoint 1'!B10="","",'Checkpoint 1'!C10)</f>
        <v>Trần Hiền Diệu</v>
      </c>
      <c r="D10" s="3"/>
      <c r="E10" s="3"/>
      <c r="F10" s="3"/>
      <c r="G10" s="3"/>
      <c r="H10" s="3"/>
      <c r="I10" s="3"/>
      <c r="J10" s="4" t="str">
        <f t="shared" si="0"/>
        <v/>
      </c>
      <c r="K10" s="3"/>
      <c r="L10" s="6" t="str">
        <f t="shared" si="1"/>
        <v/>
      </c>
    </row>
    <row r="11" spans="1:14">
      <c r="A11">
        <f>IF('Checkpoint 1'!B11="","",'Checkpoint 1'!A11)</f>
        <v>1</v>
      </c>
      <c r="B11" t="str">
        <f>IF('Checkpoint 1'!B11="","",'Checkpoint 1'!B11)</f>
        <v>CE182078</v>
      </c>
      <c r="C11" t="str">
        <f>IF('Checkpoint 1'!B11="","",'Checkpoint 1'!C11)</f>
        <v>Tăng Minh Vinh Quang</v>
      </c>
      <c r="D11" s="3"/>
      <c r="E11" s="3"/>
      <c r="F11" s="3"/>
      <c r="G11" s="3"/>
      <c r="H11" s="3"/>
      <c r="I11" s="3"/>
      <c r="J11" s="4" t="str">
        <f t="shared" si="0"/>
        <v/>
      </c>
      <c r="K11" s="3"/>
      <c r="L11" s="6" t="str">
        <f t="shared" si="1"/>
        <v/>
      </c>
    </row>
    <row r="12" spans="1:14">
      <c r="A12">
        <f>IF('Checkpoint 1'!B12="","",'Checkpoint 1'!A12)</f>
        <v>1</v>
      </c>
      <c r="B12" t="str">
        <f>IF('Checkpoint 1'!B12="","",'Checkpoint 1'!B12)</f>
        <v>CE190386</v>
      </c>
      <c r="C12" t="str">
        <f>IF('Checkpoint 1'!B12="","",'Checkpoint 1'!C12)</f>
        <v>Châu Gia Huy</v>
      </c>
      <c r="D12" s="3"/>
      <c r="E12" s="3"/>
      <c r="F12" s="3"/>
      <c r="G12" s="3"/>
      <c r="H12" s="3"/>
      <c r="I12" s="3"/>
      <c r="J12" s="4" t="str">
        <f t="shared" si="0"/>
        <v/>
      </c>
      <c r="K12" s="3"/>
      <c r="L12" s="6" t="str">
        <f t="shared" si="1"/>
        <v/>
      </c>
    </row>
    <row r="13" spans="1:14">
      <c r="A13">
        <f>IF('Checkpoint 1'!B13="","",'Checkpoint 1'!A13)</f>
        <v>1</v>
      </c>
      <c r="B13" t="str">
        <f>IF('Checkpoint 1'!B13="","",'Checkpoint 1'!B13)</f>
        <v>CE190979</v>
      </c>
      <c r="C13" t="str">
        <f>IF('Checkpoint 1'!B13="","",'Checkpoint 1'!C13)</f>
        <v>Nguyễn Huỳnh Thiên Ân</v>
      </c>
      <c r="D13" s="3"/>
      <c r="E13" s="3"/>
      <c r="F13" s="3"/>
      <c r="G13" s="3"/>
      <c r="H13" s="3"/>
      <c r="I13" s="3"/>
      <c r="J13" s="4" t="str">
        <f t="shared" si="0"/>
        <v/>
      </c>
      <c r="K13" s="3"/>
      <c r="L13" s="6" t="str">
        <f t="shared" si="1"/>
        <v/>
      </c>
    </row>
    <row r="14" spans="1:14">
      <c r="A14">
        <f>IF('Checkpoint 1'!B14="","",'Checkpoint 1'!A14)</f>
        <v>2</v>
      </c>
      <c r="B14" t="str">
        <f>IF('Checkpoint 1'!B14="","",'Checkpoint 1'!B14)</f>
        <v>CE190213</v>
      </c>
      <c r="C14" t="str">
        <f>IF('Checkpoint 1'!B14="","",'Checkpoint 1'!C14)</f>
        <v>Đái Minh Như</v>
      </c>
      <c r="D14" s="3"/>
      <c r="E14" s="3"/>
      <c r="F14" s="3"/>
      <c r="G14" s="3"/>
      <c r="H14" s="3"/>
      <c r="I14" s="3"/>
      <c r="J14" s="4" t="str">
        <f t="shared" si="0"/>
        <v/>
      </c>
      <c r="K14" s="3"/>
      <c r="L14" s="6" t="str">
        <f t="shared" si="1"/>
        <v/>
      </c>
    </row>
    <row r="15" spans="1:14">
      <c r="A15">
        <f>IF('Checkpoint 1'!B15="","",'Checkpoint 1'!A15)</f>
        <v>2</v>
      </c>
      <c r="B15" t="str">
        <f>IF('Checkpoint 1'!B15="","",'Checkpoint 1'!B15)</f>
        <v>CE190603</v>
      </c>
      <c r="C15" t="str">
        <f>IF('Checkpoint 1'!B15="","",'Checkpoint 1'!C15)</f>
        <v>Huỳnh Thái Duy Phương</v>
      </c>
      <c r="D15" s="3"/>
      <c r="E15" s="3"/>
      <c r="F15" s="3"/>
      <c r="G15" s="3"/>
      <c r="H15" s="3"/>
      <c r="I15" s="3"/>
      <c r="J15" s="4" t="str">
        <f t="shared" si="0"/>
        <v/>
      </c>
      <c r="K15" s="3"/>
      <c r="L15" s="6" t="str">
        <f t="shared" si="1"/>
        <v/>
      </c>
    </row>
    <row r="16" spans="1:14">
      <c r="A16">
        <f>IF('Checkpoint 1'!B16="","",'Checkpoint 1'!A16)</f>
        <v>2</v>
      </c>
      <c r="B16" t="str">
        <f>IF('Checkpoint 1'!B16="","",'Checkpoint 1'!B16)</f>
        <v>CE190757</v>
      </c>
      <c r="C16" t="str">
        <f>IF('Checkpoint 1'!B16="","",'Checkpoint 1'!C16)</f>
        <v>Trương Bình Trọng</v>
      </c>
      <c r="D16" s="3"/>
      <c r="E16" s="3"/>
      <c r="F16" s="3"/>
      <c r="G16" s="3"/>
      <c r="H16" s="3"/>
      <c r="I16" s="3"/>
      <c r="J16" s="4" t="str">
        <f t="shared" si="0"/>
        <v/>
      </c>
      <c r="K16" s="3"/>
      <c r="L16" s="6" t="str">
        <f t="shared" si="1"/>
        <v/>
      </c>
    </row>
    <row r="17" spans="1:12">
      <c r="A17">
        <f>IF('Checkpoint 1'!B17="","",'Checkpoint 1'!A17)</f>
        <v>2</v>
      </c>
      <c r="B17" t="str">
        <f>IF('Checkpoint 1'!B17="","",'Checkpoint 1'!B17)</f>
        <v>CE191594</v>
      </c>
      <c r="C17" t="str">
        <f>IF('Checkpoint 1'!B17="","",'Checkpoint 1'!C17)</f>
        <v>Tiêu Gia Huy</v>
      </c>
      <c r="D17" s="3"/>
      <c r="E17" s="3"/>
      <c r="F17" s="3"/>
      <c r="G17" s="3"/>
      <c r="H17" s="3"/>
      <c r="I17" s="3"/>
      <c r="J17" s="4" t="str">
        <f t="shared" si="0"/>
        <v/>
      </c>
      <c r="K17" s="3"/>
      <c r="L17" s="6" t="str">
        <f t="shared" si="1"/>
        <v/>
      </c>
    </row>
    <row r="18" spans="1:12">
      <c r="A18">
        <f>IF('Checkpoint 1'!B18="","",'Checkpoint 1'!A18)</f>
        <v>2</v>
      </c>
      <c r="B18" t="str">
        <f>IF('Checkpoint 1'!B18="","",'Checkpoint 1'!B18)</f>
        <v>CS191497</v>
      </c>
      <c r="C18" t="str">
        <f>IF('Checkpoint 1'!B18="","",'Checkpoint 1'!C18)</f>
        <v>Lâm Thành Phát</v>
      </c>
      <c r="D18" s="3"/>
      <c r="E18" s="3"/>
      <c r="F18" s="3"/>
      <c r="G18" s="3"/>
      <c r="H18" s="3"/>
      <c r="I18" s="3"/>
      <c r="J18" s="4" t="str">
        <f t="shared" si="0"/>
        <v/>
      </c>
      <c r="K18" s="3"/>
      <c r="L18" s="6" t="str">
        <f t="shared" si="1"/>
        <v/>
      </c>
    </row>
    <row r="19" spans="1:12">
      <c r="A19">
        <f>IF('Checkpoint 1'!B19="","",'Checkpoint 1'!A19)</f>
        <v>3</v>
      </c>
      <c r="B19" t="str">
        <f>IF('Checkpoint 1'!B19="","",'Checkpoint 1'!B19)</f>
        <v>CE150499</v>
      </c>
      <c r="C19" t="str">
        <f>IF('Checkpoint 1'!B19="","",'Checkpoint 1'!C19)</f>
        <v>Trần Thị Hồng Mai</v>
      </c>
      <c r="D19" s="3"/>
      <c r="E19" s="3"/>
      <c r="F19" s="3"/>
      <c r="G19" s="3"/>
      <c r="H19" s="3"/>
      <c r="I19" s="3"/>
      <c r="J19" s="4" t="str">
        <f t="shared" si="0"/>
        <v/>
      </c>
      <c r="K19" s="3"/>
      <c r="L19" s="6" t="str">
        <f t="shared" si="1"/>
        <v/>
      </c>
    </row>
    <row r="20" spans="1:12">
      <c r="A20">
        <f>IF('Checkpoint 1'!B20="","",'Checkpoint 1'!A20)</f>
        <v>3</v>
      </c>
      <c r="B20" t="str">
        <f>IF('Checkpoint 1'!B20="","",'Checkpoint 1'!B20)</f>
        <v>CE181640</v>
      </c>
      <c r="C20" t="str">
        <f>IF('Checkpoint 1'!B20="","",'Checkpoint 1'!C20)</f>
        <v>Lê Huỳnh Nhựt Khanh</v>
      </c>
      <c r="D20" s="3"/>
      <c r="E20" s="3"/>
      <c r="F20" s="3"/>
      <c r="G20" s="3"/>
      <c r="H20" s="3"/>
      <c r="I20" s="3"/>
      <c r="J20" s="4" t="str">
        <f t="shared" si="0"/>
        <v/>
      </c>
      <c r="K20" s="3"/>
      <c r="L20" s="6" t="str">
        <f t="shared" si="1"/>
        <v/>
      </c>
    </row>
    <row r="21" spans="1:12">
      <c r="A21">
        <f>IF('Checkpoint 1'!B21="","",'Checkpoint 1'!A21)</f>
        <v>3</v>
      </c>
      <c r="B21" t="str">
        <f>IF('Checkpoint 1'!B21="","",'Checkpoint 1'!B21)</f>
        <v>CE181720</v>
      </c>
      <c r="C21" t="str">
        <f>IF('Checkpoint 1'!B21="","",'Checkpoint 1'!C21)</f>
        <v>Huỳnh Trần Phước Sang</v>
      </c>
      <c r="D21" s="3"/>
      <c r="E21" s="3"/>
      <c r="F21" s="3"/>
      <c r="G21" s="3"/>
      <c r="H21" s="3"/>
      <c r="I21" s="3"/>
      <c r="J21" s="4" t="str">
        <f t="shared" si="0"/>
        <v/>
      </c>
      <c r="K21" s="3"/>
      <c r="L21" s="6" t="str">
        <f t="shared" si="1"/>
        <v/>
      </c>
    </row>
    <row r="22" spans="1:12">
      <c r="A22">
        <f>IF('Checkpoint 1'!B22="","",'Checkpoint 1'!A22)</f>
        <v>3</v>
      </c>
      <c r="B22" t="str">
        <f>IF('Checkpoint 1'!B22="","",'Checkpoint 1'!B22)</f>
        <v>CE190744</v>
      </c>
      <c r="C22" t="str">
        <f>IF('Checkpoint 1'!B22="","",'Checkpoint 1'!C22)</f>
        <v>Trương Đoàn Minh Phúc</v>
      </c>
      <c r="D22" s="3"/>
      <c r="E22" s="3"/>
      <c r="F22" s="3"/>
      <c r="G22" s="3"/>
      <c r="H22" s="3"/>
      <c r="I22" s="3"/>
      <c r="J22" s="4" t="str">
        <f t="shared" si="0"/>
        <v/>
      </c>
      <c r="K22" s="3"/>
      <c r="L22" s="6" t="str">
        <f t="shared" si="1"/>
        <v/>
      </c>
    </row>
    <row r="23" spans="1:12">
      <c r="A23">
        <f>IF('Checkpoint 1'!B23="","",'Checkpoint 1'!A23)</f>
        <v>3</v>
      </c>
      <c r="B23" t="str">
        <f>IF('Checkpoint 1'!B23="","",'Checkpoint 1'!B23)</f>
        <v>CE190743</v>
      </c>
      <c r="C23" t="str">
        <f>IF('Checkpoint 1'!B23="","",'Checkpoint 1'!C23)</f>
        <v>Nguyễn Hoàng Minh</v>
      </c>
      <c r="D23" s="3"/>
      <c r="E23" s="3"/>
      <c r="F23" s="3"/>
      <c r="G23" s="3"/>
      <c r="H23" s="3"/>
      <c r="I23" s="3"/>
      <c r="J23" s="4" t="str">
        <f t="shared" si="0"/>
        <v/>
      </c>
      <c r="K23" s="3"/>
      <c r="L23" s="6" t="str">
        <f t="shared" si="1"/>
        <v/>
      </c>
    </row>
    <row r="24" spans="1:12">
      <c r="A24">
        <f>IF('Checkpoint 1'!B24="","",'Checkpoint 1'!A24)</f>
        <v>4</v>
      </c>
      <c r="B24" t="str">
        <f>IF('Checkpoint 1'!B24="","",'Checkpoint 1'!B24)</f>
        <v>CE181654</v>
      </c>
      <c r="C24" t="str">
        <f>IF('Checkpoint 1'!B24="","",'Checkpoint 1'!C24)</f>
        <v>Huỳnh Nguyễn Chí Nghĩa</v>
      </c>
      <c r="D24" s="3"/>
      <c r="E24" s="3"/>
      <c r="F24" s="3"/>
      <c r="G24" s="3"/>
      <c r="H24" s="3"/>
      <c r="I24" s="3"/>
      <c r="J24" s="4" t="str">
        <f t="shared" si="0"/>
        <v/>
      </c>
      <c r="K24" s="3"/>
      <c r="L24" s="6" t="str">
        <f t="shared" si="1"/>
        <v/>
      </c>
    </row>
    <row r="25" spans="1:12">
      <c r="A25">
        <f>IF('Checkpoint 1'!B25="","",'Checkpoint 1'!A25)</f>
        <v>4</v>
      </c>
      <c r="B25" t="str">
        <f>IF('Checkpoint 1'!B25="","",'Checkpoint 1'!B25)</f>
        <v>CE190387</v>
      </c>
      <c r="C25" t="str">
        <f>IF('Checkpoint 1'!B25="","",'Checkpoint 1'!C25)</f>
        <v>Nguyễn Hữu Tài</v>
      </c>
      <c r="D25" s="3"/>
      <c r="E25" s="3"/>
      <c r="F25" s="3"/>
      <c r="G25" s="3"/>
      <c r="H25" s="3"/>
      <c r="I25" s="3"/>
      <c r="J25" s="4" t="str">
        <f t="shared" si="0"/>
        <v/>
      </c>
      <c r="K25" s="3"/>
      <c r="L25" s="6" t="str">
        <f t="shared" si="1"/>
        <v/>
      </c>
    </row>
    <row r="26" spans="1:12">
      <c r="A26">
        <f>IF('Checkpoint 1'!B26="","",'Checkpoint 1'!A26)</f>
        <v>4</v>
      </c>
      <c r="B26" t="str">
        <f>IF('Checkpoint 1'!B26="","",'Checkpoint 1'!B26)</f>
        <v>CE190694</v>
      </c>
      <c r="C26" t="str">
        <f>IF('Checkpoint 1'!B26="","",'Checkpoint 1'!C26)</f>
        <v>Trần Gia Đạt</v>
      </c>
      <c r="D26" s="3"/>
      <c r="E26" s="3"/>
      <c r="F26" s="3"/>
      <c r="G26" s="3"/>
      <c r="H26" s="3"/>
      <c r="I26" s="3"/>
      <c r="J26" s="4" t="str">
        <f t="shared" si="0"/>
        <v/>
      </c>
      <c r="K26" s="3"/>
      <c r="L26" s="6" t="str">
        <f t="shared" si="1"/>
        <v/>
      </c>
    </row>
    <row r="27" spans="1:12">
      <c r="A27">
        <f>IF('Checkpoint 1'!B27="","",'Checkpoint 1'!A27)</f>
        <v>4</v>
      </c>
      <c r="B27" t="str">
        <f>IF('Checkpoint 1'!B27="","",'Checkpoint 1'!B27)</f>
        <v>CE191122</v>
      </c>
      <c r="C27" t="str">
        <f>IF('Checkpoint 1'!B27="","",'Checkpoint 1'!C27)</f>
        <v>Trần Hiếu Nghĩa</v>
      </c>
      <c r="D27" s="3"/>
      <c r="E27" s="3"/>
      <c r="F27" s="3"/>
      <c r="G27" s="3"/>
      <c r="H27" s="3"/>
      <c r="I27" s="3"/>
      <c r="J27" s="4" t="str">
        <f t="shared" si="0"/>
        <v/>
      </c>
      <c r="K27" s="3"/>
      <c r="L27" s="6" t="str">
        <f t="shared" si="1"/>
        <v/>
      </c>
    </row>
    <row r="28" spans="1:12">
      <c r="A28">
        <f>IF('Checkpoint 1'!B28="","",'Checkpoint 1'!A28)</f>
        <v>4</v>
      </c>
      <c r="B28" t="str">
        <f>IF('Checkpoint 1'!B28="","",'Checkpoint 1'!B28)</f>
        <v>CE191184</v>
      </c>
      <c r="C28" t="str">
        <f>IF('Checkpoint 1'!B28="","",'Checkpoint 1'!C28)</f>
        <v>Ngô Quốc Hưng</v>
      </c>
      <c r="D28" s="3"/>
      <c r="E28" s="3"/>
      <c r="F28" s="3"/>
      <c r="G28" s="3"/>
      <c r="H28" s="3"/>
      <c r="I28" s="3"/>
      <c r="J28" s="4" t="str">
        <f t="shared" si="0"/>
        <v/>
      </c>
      <c r="K28" s="3"/>
      <c r="L28" s="6" t="str">
        <f t="shared" si="1"/>
        <v/>
      </c>
    </row>
    <row r="29" spans="1:12">
      <c r="A29">
        <f>IF('Checkpoint 1'!B29="","",'Checkpoint 1'!A29)</f>
        <v>5</v>
      </c>
      <c r="B29" t="str">
        <f>IF('Checkpoint 1'!B29="","",'Checkpoint 1'!B29)</f>
        <v>CE190886</v>
      </c>
      <c r="C29" t="str">
        <f>IF('Checkpoint 1'!B29="","",'Checkpoint 1'!C29)</f>
        <v>Nguyễn Hoàng Long</v>
      </c>
      <c r="D29" s="3"/>
      <c r="E29" s="3"/>
      <c r="F29" s="3"/>
      <c r="G29" s="3"/>
      <c r="H29" s="3"/>
      <c r="I29" s="3"/>
      <c r="J29" s="4" t="str">
        <f t="shared" si="0"/>
        <v/>
      </c>
      <c r="K29" s="3"/>
      <c r="L29" s="6" t="str">
        <f t="shared" si="1"/>
        <v/>
      </c>
    </row>
    <row r="30" spans="1:12">
      <c r="A30">
        <f>IF('Checkpoint 1'!B30="","",'Checkpoint 1'!A30)</f>
        <v>5</v>
      </c>
      <c r="B30" t="str">
        <f>IF('Checkpoint 1'!B30="","",'Checkpoint 1'!B30)</f>
        <v>CE190890</v>
      </c>
      <c r="C30" t="str">
        <f>IF('Checkpoint 1'!B30="","",'Checkpoint 1'!C30)</f>
        <v>Trần Huỳnh Khôi</v>
      </c>
      <c r="D30" s="3"/>
      <c r="E30" s="3"/>
      <c r="F30" s="3"/>
      <c r="G30" s="3"/>
      <c r="H30" s="3"/>
      <c r="I30" s="3"/>
      <c r="J30" s="4" t="str">
        <f t="shared" si="0"/>
        <v/>
      </c>
      <c r="K30" s="3"/>
      <c r="L30" s="6" t="str">
        <f t="shared" si="1"/>
        <v/>
      </c>
    </row>
    <row r="31" spans="1:12">
      <c r="A31">
        <f>IF('Checkpoint 1'!B31="","",'Checkpoint 1'!A31)</f>
        <v>5</v>
      </c>
      <c r="B31" t="str">
        <f>IF('Checkpoint 1'!B31="","",'Checkpoint 1'!B31)</f>
        <v>CE190895</v>
      </c>
      <c r="C31" t="str">
        <f>IF('Checkpoint 1'!B31="","",'Checkpoint 1'!C31)</f>
        <v>Trần Công Minh</v>
      </c>
      <c r="D31" s="3"/>
      <c r="E31" s="3"/>
      <c r="F31" s="3"/>
      <c r="G31" s="3"/>
      <c r="H31" s="3"/>
      <c r="I31" s="3"/>
      <c r="J31" s="4" t="str">
        <f t="shared" si="0"/>
        <v/>
      </c>
      <c r="K31" s="3"/>
      <c r="L31" s="6" t="str">
        <f t="shared" si="1"/>
        <v/>
      </c>
    </row>
    <row r="32" spans="1:12">
      <c r="A32">
        <f>IF('Checkpoint 1'!B32="","",'Checkpoint 1'!A32)</f>
        <v>5</v>
      </c>
      <c r="B32" t="str">
        <f>IF('Checkpoint 1'!B32="","",'Checkpoint 1'!B32)</f>
        <v>CE190986</v>
      </c>
      <c r="C32" t="str">
        <f>IF('Checkpoint 1'!B32="","",'Checkpoint 1'!C32)</f>
        <v>Nguyễn Cao Quí</v>
      </c>
      <c r="D32" s="3"/>
      <c r="E32" s="3"/>
      <c r="F32" s="3"/>
      <c r="G32" s="3"/>
      <c r="H32" s="3"/>
      <c r="I32" s="3"/>
      <c r="J32" s="4" t="str">
        <f t="shared" si="0"/>
        <v/>
      </c>
      <c r="K32" s="3"/>
      <c r="L32" s="6" t="str">
        <f t="shared" si="1"/>
        <v/>
      </c>
    </row>
    <row r="33" spans="1:12">
      <c r="A33">
        <f>IF('Checkpoint 1'!B33="","",'Checkpoint 1'!A33)</f>
        <v>6</v>
      </c>
      <c r="B33" t="str">
        <f>IF('Checkpoint 1'!B33="","",'Checkpoint 1'!B33)</f>
        <v>CE170754</v>
      </c>
      <c r="C33" t="str">
        <f>IF('Checkpoint 1'!B33="","",'Checkpoint 1'!C33)</f>
        <v>Bùi Minh Khang</v>
      </c>
      <c r="D33" s="3"/>
      <c r="E33" s="3"/>
      <c r="F33" s="3"/>
      <c r="G33" s="3"/>
      <c r="H33" s="3"/>
      <c r="I33" s="3"/>
      <c r="J33" s="4" t="str">
        <f t="shared" si="0"/>
        <v/>
      </c>
      <c r="K33" s="3"/>
      <c r="L33" s="6" t="str">
        <f t="shared" si="1"/>
        <v/>
      </c>
    </row>
    <row r="34" spans="1:12">
      <c r="A34">
        <f>IF('Checkpoint 1'!B34="","",'Checkpoint 1'!A34)</f>
        <v>6</v>
      </c>
      <c r="B34" t="str">
        <f>IF('Checkpoint 1'!B34="","",'Checkpoint 1'!B34)</f>
        <v>CE172083</v>
      </c>
      <c r="C34" t="str">
        <f>IF('Checkpoint 1'!B34="","",'Checkpoint 1'!C34)</f>
        <v>Ngô Việt Trinh</v>
      </c>
      <c r="D34" s="3"/>
      <c r="E34" s="3"/>
      <c r="F34" s="3"/>
      <c r="G34" s="3"/>
      <c r="H34" s="3"/>
      <c r="I34" s="3"/>
      <c r="J34" s="4" t="str">
        <f t="shared" si="0"/>
        <v/>
      </c>
      <c r="K34" s="3"/>
      <c r="L34" s="6" t="str">
        <f t="shared" si="1"/>
        <v/>
      </c>
    </row>
    <row r="35" spans="1:12">
      <c r="A35">
        <f>IF('Checkpoint 1'!B35="","",'Checkpoint 1'!A35)</f>
        <v>6</v>
      </c>
      <c r="B35" t="str">
        <f>IF('Checkpoint 1'!B35="","",'Checkpoint 1'!B35)</f>
        <v>CE181002</v>
      </c>
      <c r="C35" t="str">
        <f>IF('Checkpoint 1'!B35="","",'Checkpoint 1'!C35)</f>
        <v>Võ Chánh Huy</v>
      </c>
      <c r="D35" s="3"/>
      <c r="E35" s="3"/>
      <c r="F35" s="3"/>
      <c r="G35" s="3"/>
      <c r="H35" s="3"/>
      <c r="I35" s="3"/>
      <c r="J35" s="4" t="str">
        <f t="shared" si="0"/>
        <v/>
      </c>
      <c r="K35" s="3"/>
      <c r="L35" s="6" t="str">
        <f t="shared" si="1"/>
        <v/>
      </c>
    </row>
    <row r="36" spans="1:12">
      <c r="A36">
        <f>IF('Checkpoint 1'!B36="","",'Checkpoint 1'!A36)</f>
        <v>6</v>
      </c>
      <c r="B36" t="str">
        <f>IF('Checkpoint 1'!B36="","",'Checkpoint 1'!B36)</f>
        <v>CE181211</v>
      </c>
      <c r="C36" t="str">
        <f>IF('Checkpoint 1'!B36="","",'Checkpoint 1'!C36)</f>
        <v>Lê Huỳnh Thiện Hưng</v>
      </c>
      <c r="D36" s="3"/>
      <c r="E36" s="3"/>
      <c r="F36" s="3"/>
      <c r="G36" s="3"/>
      <c r="H36" s="3"/>
      <c r="I36" s="3"/>
      <c r="J36" s="4" t="str">
        <f t="shared" si="0"/>
        <v/>
      </c>
      <c r="K36" s="3"/>
      <c r="L36" s="6" t="str">
        <f t="shared" si="1"/>
        <v/>
      </c>
    </row>
    <row r="37" spans="1:12">
      <c r="A37">
        <f>IF('Checkpoint 1'!B37="","",'Checkpoint 1'!A37)</f>
        <v>6</v>
      </c>
      <c r="B37" t="str">
        <f>IF('Checkpoint 1'!B37="","",'Checkpoint 1'!B37)</f>
        <v>CE191406</v>
      </c>
      <c r="C37" t="str">
        <f>IF('Checkpoint 1'!B37="","",'Checkpoint 1'!C37)</f>
        <v>Lê Thuận Phát</v>
      </c>
      <c r="D37" s="3"/>
      <c r="E37" s="3"/>
      <c r="F37" s="3"/>
      <c r="G37" s="3"/>
      <c r="H37" s="3"/>
      <c r="I37" s="3"/>
      <c r="J37" s="4" t="str">
        <f t="shared" si="0"/>
        <v/>
      </c>
      <c r="K37" s="3"/>
      <c r="L37" s="6" t="str">
        <f t="shared" si="1"/>
        <v/>
      </c>
    </row>
    <row r="38" spans="1:12">
      <c r="A38" t="str">
        <f>IF('Checkpoint 1'!B38="","",'Checkpoint 1'!A38)</f>
        <v/>
      </c>
      <c r="B38" t="str">
        <f>IF('Checkpoint 1'!B38="","",'Checkpoint 1'!B38)</f>
        <v/>
      </c>
      <c r="C38" t="str">
        <f>IF('Checkpoint 1'!B38="","",'Checkpoint 1'!C38)</f>
        <v/>
      </c>
      <c r="D38" s="3"/>
      <c r="E38" s="3"/>
      <c r="F38" s="3"/>
      <c r="G38" s="3"/>
      <c r="H38" s="3"/>
      <c r="I38" s="3"/>
      <c r="J38" s="4" t="str">
        <f t="shared" si="0"/>
        <v/>
      </c>
      <c r="K38" s="3"/>
      <c r="L38" s="6" t="str">
        <f t="shared" si="1"/>
        <v/>
      </c>
    </row>
  </sheetData>
  <mergeCells count="3">
    <mergeCell ref="A1:N2"/>
    <mergeCell ref="A3:N3"/>
    <mergeCell ref="A5:N5"/>
  </mergeCells>
  <conditionalFormatting sqref="D9:D38">
    <cfRule type="dataBar" priority="1">
      <dataBar>
        <cfvo type="min"/>
        <cfvo type="max"/>
        <color rgb="FF007F78"/>
      </dataBar>
    </cfRule>
    <cfRule type="dataBar" priority="8">
      <dataBar>
        <cfvo type="min"/>
        <cfvo type="max"/>
        <color rgb="FF007F78"/>
      </dataBar>
      <extLst>
        <ext xmlns:x14="http://schemas.microsoft.com/office/spreadsheetml/2009/9/main" uri="{B025F937-C7B1-47D3-B67F-A62EFF666E3E}">
          <x14:id>{A0FA4382-1E70-3E94-661B-E4DA311F1653}</x14:id>
        </ext>
      </extLst>
    </cfRule>
  </conditionalFormatting>
  <conditionalFormatting sqref="E9:E38">
    <cfRule type="dataBar" priority="2">
      <dataBar>
        <cfvo type="min"/>
        <cfvo type="max"/>
        <color rgb="FF007F78"/>
      </dataBar>
    </cfRule>
    <cfRule type="dataBar" priority="9">
      <dataBar>
        <cfvo type="min"/>
        <cfvo type="max"/>
        <color rgb="FF007F78"/>
      </dataBar>
      <extLst>
        <ext xmlns:x14="http://schemas.microsoft.com/office/spreadsheetml/2009/9/main" uri="{B025F937-C7B1-47D3-B67F-A62EFF666E3E}">
          <x14:id>{E9B1C8DF-FB50-1980-BB03-CD0027867FB6}</x14:id>
        </ext>
      </extLst>
    </cfRule>
  </conditionalFormatting>
  <conditionalFormatting sqref="F9:F38">
    <cfRule type="dataBar" priority="3">
      <dataBar>
        <cfvo type="min"/>
        <cfvo type="max"/>
        <color rgb="FF007F78"/>
      </dataBar>
    </cfRule>
    <cfRule type="dataBar" priority="10">
      <dataBar>
        <cfvo type="min"/>
        <cfvo type="max"/>
        <color rgb="FF007F78"/>
      </dataBar>
      <extLst>
        <ext xmlns:x14="http://schemas.microsoft.com/office/spreadsheetml/2009/9/main" uri="{B025F937-C7B1-47D3-B67F-A62EFF666E3E}">
          <x14:id>{79D3463C-89F7-BA09-C08C-4044785FB92F}</x14:id>
        </ext>
      </extLst>
    </cfRule>
  </conditionalFormatting>
  <conditionalFormatting sqref="G9:G38">
    <cfRule type="dataBar" priority="4">
      <dataBar>
        <cfvo type="min"/>
        <cfvo type="max"/>
        <color rgb="FF007F78"/>
      </dataBar>
    </cfRule>
    <cfRule type="dataBar" priority="11">
      <dataBar>
        <cfvo type="min"/>
        <cfvo type="max"/>
        <color rgb="FF007F78"/>
      </dataBar>
      <extLst>
        <ext xmlns:x14="http://schemas.microsoft.com/office/spreadsheetml/2009/9/main" uri="{B025F937-C7B1-47D3-B67F-A62EFF666E3E}">
          <x14:id>{F9B52584-682F-EDAE-29DC-C3F1830B16BC}</x14:id>
        </ext>
      </extLst>
    </cfRule>
  </conditionalFormatting>
  <conditionalFormatting sqref="H9:H38">
    <cfRule type="dataBar" priority="5">
      <dataBar>
        <cfvo type="min"/>
        <cfvo type="max"/>
        <color rgb="FF007F78"/>
      </dataBar>
    </cfRule>
    <cfRule type="dataBar" priority="12">
      <dataBar>
        <cfvo type="min"/>
        <cfvo type="max"/>
        <color rgb="FF007F78"/>
      </dataBar>
      <extLst>
        <ext xmlns:x14="http://schemas.microsoft.com/office/spreadsheetml/2009/9/main" uri="{B025F937-C7B1-47D3-B67F-A62EFF666E3E}">
          <x14:id>{C7EB5B55-1D7B-0A9A-87BA-8EB9CD656CF0}</x14:id>
        </ext>
      </extLst>
    </cfRule>
  </conditionalFormatting>
  <conditionalFormatting sqref="I9:I38">
    <cfRule type="dataBar" priority="6">
      <dataBar>
        <cfvo type="min"/>
        <cfvo type="max"/>
        <color rgb="FF007F78"/>
      </dataBar>
    </cfRule>
    <cfRule type="dataBar" priority="13">
      <dataBar>
        <cfvo type="min"/>
        <cfvo type="max"/>
        <color rgb="FF007F78"/>
      </dataBar>
      <extLst>
        <ext xmlns:x14="http://schemas.microsoft.com/office/spreadsheetml/2009/9/main" uri="{B025F937-C7B1-47D3-B67F-A62EFF666E3E}">
          <x14:id>{0EA6F60C-0433-D3C6-5893-B75EC885A836}</x14:id>
        </ext>
      </extLst>
    </cfRule>
  </conditionalFormatting>
  <conditionalFormatting sqref="K9:K38">
    <cfRule type="dataBar" priority="7">
      <dataBar>
        <cfvo type="min"/>
        <cfvo type="max"/>
        <color rgb="FF007F78"/>
      </dataBar>
    </cfRule>
    <cfRule type="dataBar" priority="14">
      <dataBar>
        <cfvo type="min"/>
        <cfvo type="max"/>
        <color rgb="FF007F78"/>
      </dataBar>
      <extLst>
        <ext xmlns:x14="http://schemas.microsoft.com/office/spreadsheetml/2009/9/main" uri="{B025F937-C7B1-47D3-B67F-A62EFF666E3E}">
          <x14:id>{5F1105CD-B5C3-1EFA-4162-F0FB24F919B4}</x14:id>
        </ext>
      </extLst>
    </cfRule>
  </conditionalFormatting>
  <dataValidations count="5">
    <dataValidation type="list" sqref="D9:F38" xr:uid="{00000000-0002-0000-0200-000000000000}">
      <formula1>"0.0,0.5,1.0"</formula1>
    </dataValidation>
    <dataValidation type="list" sqref="G9:G38" xr:uid="{00000000-0002-0000-0200-000003000000}">
      <formula1>"0.0,0.5,1.0,1.5,2.0,2.5"</formula1>
    </dataValidation>
    <dataValidation type="list" sqref="H9:H38" xr:uid="{00000000-0002-0000-0200-000004000000}">
      <formula1>"0.0,0.5,1.0,1.5,2.0,2.5,3.0,3.5,4.0"</formula1>
    </dataValidation>
    <dataValidation type="list" sqref="K9:K38" xr:uid="{00000000-0002-0000-0200-000005000000}">
      <formula1>"0.0,0.5"</formula1>
    </dataValidation>
    <dataValidation type="list" sqref="G9:H38" xr:uid="{00000000-0002-0000-0200-000006000000}">
      <formula1>"0.0,0.5,1.0,1.5,2.0,2.5,3.0"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FA4382-1E70-3E94-661B-E4DA311F1653}">
            <x14:dataBar>
              <x14:cfvo type="min"/>
              <x14:cfvo type="max"/>
              <x14:negativeFillColor auto="1"/>
              <x14:axisColor auto="1"/>
            </x14:dataBar>
          </x14:cfRule>
          <xm:sqref>D9:D38</xm:sqref>
        </x14:conditionalFormatting>
        <x14:conditionalFormatting xmlns:xm="http://schemas.microsoft.com/office/excel/2006/main">
          <x14:cfRule type="dataBar" id="{E9B1C8DF-FB50-1980-BB03-CD0027867FB6}">
            <x14:dataBar>
              <x14:cfvo type="min"/>
              <x14:cfvo type="max"/>
              <x14:negativeFillColor auto="1"/>
              <x14:axisColor auto="1"/>
            </x14:dataBar>
          </x14:cfRule>
          <xm:sqref>E9:E38</xm:sqref>
        </x14:conditionalFormatting>
        <x14:conditionalFormatting xmlns:xm="http://schemas.microsoft.com/office/excel/2006/main">
          <x14:cfRule type="dataBar" id="{79D3463C-89F7-BA09-C08C-4044785FB92F}">
            <x14:dataBar>
              <x14:cfvo type="min"/>
              <x14:cfvo type="max"/>
              <x14:negativeFillColor auto="1"/>
              <x14:axisColor auto="1"/>
            </x14:dataBar>
          </x14:cfRule>
          <xm:sqref>F9:F38</xm:sqref>
        </x14:conditionalFormatting>
        <x14:conditionalFormatting xmlns:xm="http://schemas.microsoft.com/office/excel/2006/main">
          <x14:cfRule type="dataBar" id="{F9B52584-682F-EDAE-29DC-C3F1830B16BC}">
            <x14:dataBar>
              <x14:cfvo type="min"/>
              <x14:cfvo type="max"/>
              <x14:negativeFillColor auto="1"/>
              <x14:axisColor auto="1"/>
            </x14:dataBar>
          </x14:cfRule>
          <xm:sqref>G9:G38</xm:sqref>
        </x14:conditionalFormatting>
        <x14:conditionalFormatting xmlns:xm="http://schemas.microsoft.com/office/excel/2006/main">
          <x14:cfRule type="dataBar" id="{C7EB5B55-1D7B-0A9A-87BA-8EB9CD656CF0}">
            <x14:dataBar>
              <x14:cfvo type="min"/>
              <x14:cfvo type="max"/>
              <x14:negativeFillColor auto="1"/>
              <x14:axisColor auto="1"/>
            </x14:dataBar>
          </x14:cfRule>
          <xm:sqref>H9:H38</xm:sqref>
        </x14:conditionalFormatting>
        <x14:conditionalFormatting xmlns:xm="http://schemas.microsoft.com/office/excel/2006/main">
          <x14:cfRule type="dataBar" id="{0EA6F60C-0433-D3C6-5893-B75EC885A836}">
            <x14:dataBar>
              <x14:cfvo type="min"/>
              <x14:cfvo type="max"/>
              <x14:negativeFillColor auto="1"/>
              <x14:axisColor auto="1"/>
            </x14:dataBar>
          </x14:cfRule>
          <xm:sqref>I9:I38</xm:sqref>
        </x14:conditionalFormatting>
        <x14:conditionalFormatting xmlns:xm="http://schemas.microsoft.com/office/excel/2006/main">
          <x14:cfRule type="dataBar" id="{5F1105CD-B5C3-1EFA-4162-F0FB24F919B4}">
            <x14:dataBar>
              <x14:cfvo type="min"/>
              <x14:cfvo type="max"/>
              <x14:negativeFillColor auto="1"/>
              <x14:axisColor auto="1"/>
            </x14:dataBar>
          </x14:cfRule>
          <xm:sqref>K9:K38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8"/>
  <sheetViews>
    <sheetView workbookViewId="0">
      <pane ySplit="8" topLeftCell="A27" activePane="bottomLeft" state="frozen"/>
      <selection pane="bottomLeft" sqref="A1:J2"/>
    </sheetView>
  </sheetViews>
  <sheetFormatPr defaultRowHeight="13.8"/>
  <cols>
    <col min="1" max="1" width="11" customWidth="1"/>
    <col min="2" max="2" width="16" customWidth="1"/>
    <col min="3" max="3" width="27" customWidth="1"/>
    <col min="4" max="5" width="15" customWidth="1"/>
    <col min="6" max="6" width="17" customWidth="1"/>
    <col min="7" max="7" width="16" customWidth="1"/>
    <col min="8" max="8" width="18" customWidth="1"/>
    <col min="9" max="9" width="20" customWidth="1"/>
    <col min="10" max="10" width="45" customWidth="1"/>
  </cols>
  <sheetData>
    <row r="1" spans="1:10" ht="27" customHeight="1">
      <c r="A1" s="19" t="s">
        <v>137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7" customHeight="1">
      <c r="A2" s="19"/>
      <c r="B2" s="19"/>
      <c r="C2" s="19"/>
      <c r="D2" s="19"/>
      <c r="E2" s="19"/>
      <c r="F2" s="19"/>
      <c r="G2" s="19"/>
      <c r="H2" s="19"/>
      <c r="I2" s="19"/>
      <c r="J2" s="19"/>
    </row>
    <row r="3" spans="1:10" ht="27" customHeight="1">
      <c r="A3" s="20" t="s">
        <v>26</v>
      </c>
      <c r="B3" s="20"/>
      <c r="C3" s="20"/>
      <c r="D3" s="20"/>
      <c r="E3" s="20"/>
      <c r="F3" s="20"/>
      <c r="G3" s="20"/>
      <c r="H3" s="20"/>
      <c r="I3" s="20"/>
      <c r="J3" s="20"/>
    </row>
    <row r="5" spans="1:10">
      <c r="A5" s="1" t="s">
        <v>27</v>
      </c>
      <c r="B5" s="1" t="s">
        <v>28</v>
      </c>
      <c r="C5" s="1" t="s">
        <v>29</v>
      </c>
      <c r="D5" s="1" t="s">
        <v>30</v>
      </c>
      <c r="E5" s="23" t="s">
        <v>31</v>
      </c>
      <c r="F5" s="23"/>
      <c r="G5" s="23"/>
      <c r="H5" s="23"/>
      <c r="I5" s="23"/>
      <c r="J5" s="23"/>
    </row>
    <row r="6" spans="1:10">
      <c r="A6" s="8">
        <v>0.25</v>
      </c>
      <c r="B6" s="8">
        <v>0.25</v>
      </c>
      <c r="C6" s="8">
        <v>0.5</v>
      </c>
      <c r="D6" s="7">
        <f>SUM(A6:C6)</f>
        <v>1</v>
      </c>
      <c r="E6" s="23"/>
      <c r="F6" s="23"/>
      <c r="G6" s="23"/>
      <c r="H6" s="23"/>
      <c r="I6" s="23"/>
      <c r="J6" s="23"/>
    </row>
    <row r="8" spans="1:10" ht="49.05" customHeight="1">
      <c r="A8" s="2" t="s">
        <v>3</v>
      </c>
      <c r="B8" s="2" t="s">
        <v>4</v>
      </c>
      <c r="C8" s="2" t="s">
        <v>5</v>
      </c>
      <c r="D8" s="2" t="s">
        <v>32</v>
      </c>
      <c r="E8" s="2" t="s">
        <v>33</v>
      </c>
      <c r="F8" s="2" t="s">
        <v>23</v>
      </c>
      <c r="G8" s="2" t="s">
        <v>34</v>
      </c>
      <c r="H8" s="2" t="s">
        <v>35</v>
      </c>
      <c r="I8" s="2" t="s">
        <v>36</v>
      </c>
      <c r="J8" s="2" t="s">
        <v>37</v>
      </c>
    </row>
    <row r="9" spans="1:10">
      <c r="A9">
        <f>IF('Checkpoint 1'!B9="","",'Checkpoint 1'!A9)</f>
        <v>1</v>
      </c>
      <c r="B9" t="str">
        <f>IF('Checkpoint 1'!B9="","",'Checkpoint 1'!B9)</f>
        <v>CE181052</v>
      </c>
      <c r="C9" t="str">
        <f>IF('Checkpoint 1'!B9="","",'Checkpoint 1'!C9)</f>
        <v>Lê Hữu Nghĩa</v>
      </c>
      <c r="D9" t="str">
        <f>IF(B9="","",IF('Checkpoint 1'!I9="","",'Checkpoint 1'!I9))</f>
        <v/>
      </c>
      <c r="E9" t="str">
        <f>IF(B9="","",IF('Checkpoint 2'!I9="","",'Checkpoint 2'!I9))</f>
        <v/>
      </c>
      <c r="F9" t="str">
        <f>IF(B9="","",IF('Final Defense'!L9="","",'Final Defense'!L9))</f>
        <v/>
      </c>
      <c r="G9" s="9" t="str">
        <f t="shared" ref="G9:G38" si="0">IF(OR(B9="",COUNT(D9:F9)&lt;3,$D$6&lt;&gt;1),"",SUMPRODUCT(D9:F9,$A$6:$C$6))</f>
        <v/>
      </c>
      <c r="H9" s="9" t="str">
        <f t="shared" ref="H9:H38" si="1">IF(G9="","",G9*30%)</f>
        <v/>
      </c>
      <c r="I9" t="str">
        <f t="shared" ref="I9:I38" si="2">IF(B9="","",IF($D$6&lt;&gt;1,"Kiểm tra trọng số",IF(COUNT(D9:F9)=3,"Hoàn tất","Chưa đủ 3 vòng")))</f>
        <v>Chưa đủ 3 vòng</v>
      </c>
    </row>
    <row r="10" spans="1:10">
      <c r="A10">
        <f>IF('Checkpoint 1'!B10="","",'Checkpoint 1'!A10)</f>
        <v>1</v>
      </c>
      <c r="B10" t="str">
        <f>IF('Checkpoint 1'!B10="","",'Checkpoint 1'!B10)</f>
        <v>CE181532</v>
      </c>
      <c r="C10" t="str">
        <f>IF('Checkpoint 1'!B10="","",'Checkpoint 1'!C10)</f>
        <v>Trần Hiền Diệu</v>
      </c>
      <c r="D10" t="str">
        <f>IF(B10="","",IF('Checkpoint 1'!I10="","",'Checkpoint 1'!I10))</f>
        <v/>
      </c>
      <c r="E10" t="str">
        <f>IF(B10="","",IF('Checkpoint 2'!I10="","",'Checkpoint 2'!I10))</f>
        <v/>
      </c>
      <c r="F10" t="str">
        <f>IF(B10="","",IF('Final Defense'!L10="","",'Final Defense'!L10))</f>
        <v/>
      </c>
      <c r="G10" s="9" t="str">
        <f t="shared" si="0"/>
        <v/>
      </c>
      <c r="H10" s="9" t="str">
        <f t="shared" si="1"/>
        <v/>
      </c>
      <c r="I10" t="str">
        <f t="shared" si="2"/>
        <v>Chưa đủ 3 vòng</v>
      </c>
    </row>
    <row r="11" spans="1:10">
      <c r="A11">
        <f>IF('Checkpoint 1'!B11="","",'Checkpoint 1'!A11)</f>
        <v>1</v>
      </c>
      <c r="B11" t="str">
        <f>IF('Checkpoint 1'!B11="","",'Checkpoint 1'!B11)</f>
        <v>CE182078</v>
      </c>
      <c r="C11" t="str">
        <f>IF('Checkpoint 1'!B11="","",'Checkpoint 1'!C11)</f>
        <v>Tăng Minh Vinh Quang</v>
      </c>
      <c r="D11" t="str">
        <f>IF(B11="","",IF('Checkpoint 1'!I11="","",'Checkpoint 1'!I11))</f>
        <v/>
      </c>
      <c r="E11" t="str">
        <f>IF(B11="","",IF('Checkpoint 2'!I11="","",'Checkpoint 2'!I11))</f>
        <v/>
      </c>
      <c r="F11" t="str">
        <f>IF(B11="","",IF('Final Defense'!L11="","",'Final Defense'!L11))</f>
        <v/>
      </c>
      <c r="G11" s="9" t="str">
        <f t="shared" si="0"/>
        <v/>
      </c>
      <c r="H11" s="9" t="str">
        <f t="shared" si="1"/>
        <v/>
      </c>
      <c r="I11" t="str">
        <f t="shared" si="2"/>
        <v>Chưa đủ 3 vòng</v>
      </c>
    </row>
    <row r="12" spans="1:10">
      <c r="A12">
        <f>IF('Checkpoint 1'!B12="","",'Checkpoint 1'!A12)</f>
        <v>1</v>
      </c>
      <c r="B12" t="str">
        <f>IF('Checkpoint 1'!B12="","",'Checkpoint 1'!B12)</f>
        <v>CE190386</v>
      </c>
      <c r="C12" t="str">
        <f>IF('Checkpoint 1'!B12="","",'Checkpoint 1'!C12)</f>
        <v>Châu Gia Huy</v>
      </c>
      <c r="D12" t="str">
        <f>IF(B12="","",IF('Checkpoint 1'!I12="","",'Checkpoint 1'!I12))</f>
        <v/>
      </c>
      <c r="E12" t="str">
        <f>IF(B12="","",IF('Checkpoint 2'!I12="","",'Checkpoint 2'!I12))</f>
        <v/>
      </c>
      <c r="F12" t="str">
        <f>IF(B12="","",IF('Final Defense'!L12="","",'Final Defense'!L12))</f>
        <v/>
      </c>
      <c r="G12" s="9" t="str">
        <f t="shared" si="0"/>
        <v/>
      </c>
      <c r="H12" s="9" t="str">
        <f t="shared" si="1"/>
        <v/>
      </c>
      <c r="I12" t="str">
        <f t="shared" si="2"/>
        <v>Chưa đủ 3 vòng</v>
      </c>
    </row>
    <row r="13" spans="1:10">
      <c r="A13">
        <f>IF('Checkpoint 1'!B13="","",'Checkpoint 1'!A13)</f>
        <v>1</v>
      </c>
      <c r="B13" t="str">
        <f>IF('Checkpoint 1'!B13="","",'Checkpoint 1'!B13)</f>
        <v>CE190979</v>
      </c>
      <c r="C13" t="str">
        <f>IF('Checkpoint 1'!B13="","",'Checkpoint 1'!C13)</f>
        <v>Nguyễn Huỳnh Thiên Ân</v>
      </c>
      <c r="D13" t="str">
        <f>IF(B13="","",IF('Checkpoint 1'!I13="","",'Checkpoint 1'!I13))</f>
        <v/>
      </c>
      <c r="E13" t="str">
        <f>IF(B13="","",IF('Checkpoint 2'!I13="","",'Checkpoint 2'!I13))</f>
        <v/>
      </c>
      <c r="F13" t="str">
        <f>IF(B13="","",IF('Final Defense'!L13="","",'Final Defense'!L13))</f>
        <v/>
      </c>
      <c r="G13" s="9" t="str">
        <f t="shared" si="0"/>
        <v/>
      </c>
      <c r="H13" s="9" t="str">
        <f t="shared" si="1"/>
        <v/>
      </c>
      <c r="I13" t="str">
        <f t="shared" si="2"/>
        <v>Chưa đủ 3 vòng</v>
      </c>
    </row>
    <row r="14" spans="1:10">
      <c r="A14">
        <f>IF('Checkpoint 1'!B14="","",'Checkpoint 1'!A14)</f>
        <v>2</v>
      </c>
      <c r="B14" t="str">
        <f>IF('Checkpoint 1'!B14="","",'Checkpoint 1'!B14)</f>
        <v>CE190213</v>
      </c>
      <c r="C14" t="str">
        <f>IF('Checkpoint 1'!B14="","",'Checkpoint 1'!C14)</f>
        <v>Đái Minh Như</v>
      </c>
      <c r="D14" t="str">
        <f>IF(B14="","",IF('Checkpoint 1'!I14="","",'Checkpoint 1'!I14))</f>
        <v/>
      </c>
      <c r="E14" t="str">
        <f>IF(B14="","",IF('Checkpoint 2'!I14="","",'Checkpoint 2'!I14))</f>
        <v/>
      </c>
      <c r="F14" t="str">
        <f>IF(B14="","",IF('Final Defense'!L14="","",'Final Defense'!L14))</f>
        <v/>
      </c>
      <c r="G14" s="9" t="str">
        <f t="shared" si="0"/>
        <v/>
      </c>
      <c r="H14" s="9" t="str">
        <f t="shared" si="1"/>
        <v/>
      </c>
      <c r="I14" t="str">
        <f t="shared" si="2"/>
        <v>Chưa đủ 3 vòng</v>
      </c>
    </row>
    <row r="15" spans="1:10">
      <c r="A15">
        <f>IF('Checkpoint 1'!B15="","",'Checkpoint 1'!A15)</f>
        <v>2</v>
      </c>
      <c r="B15" t="str">
        <f>IF('Checkpoint 1'!B15="","",'Checkpoint 1'!B15)</f>
        <v>CE190603</v>
      </c>
      <c r="C15" t="str">
        <f>IF('Checkpoint 1'!B15="","",'Checkpoint 1'!C15)</f>
        <v>Huỳnh Thái Duy Phương</v>
      </c>
      <c r="D15" t="str">
        <f>IF(B15="","",IF('Checkpoint 1'!I15="","",'Checkpoint 1'!I15))</f>
        <v/>
      </c>
      <c r="E15" t="str">
        <f>IF(B15="","",IF('Checkpoint 2'!I15="","",'Checkpoint 2'!I15))</f>
        <v/>
      </c>
      <c r="F15" t="str">
        <f>IF(B15="","",IF('Final Defense'!L15="","",'Final Defense'!L15))</f>
        <v/>
      </c>
      <c r="G15" s="9" t="str">
        <f t="shared" si="0"/>
        <v/>
      </c>
      <c r="H15" s="9" t="str">
        <f t="shared" si="1"/>
        <v/>
      </c>
      <c r="I15" t="str">
        <f t="shared" si="2"/>
        <v>Chưa đủ 3 vòng</v>
      </c>
    </row>
    <row r="16" spans="1:10">
      <c r="A16">
        <f>IF('Checkpoint 1'!B16="","",'Checkpoint 1'!A16)</f>
        <v>2</v>
      </c>
      <c r="B16" t="str">
        <f>IF('Checkpoint 1'!B16="","",'Checkpoint 1'!B16)</f>
        <v>CE190757</v>
      </c>
      <c r="C16" t="str">
        <f>IF('Checkpoint 1'!B16="","",'Checkpoint 1'!C16)</f>
        <v>Trương Bình Trọng</v>
      </c>
      <c r="D16" t="str">
        <f>IF(B16="","",IF('Checkpoint 1'!I16="","",'Checkpoint 1'!I16))</f>
        <v/>
      </c>
      <c r="E16" t="str">
        <f>IF(B16="","",IF('Checkpoint 2'!I16="","",'Checkpoint 2'!I16))</f>
        <v/>
      </c>
      <c r="F16" t="str">
        <f>IF(B16="","",IF('Final Defense'!L16="","",'Final Defense'!L16))</f>
        <v/>
      </c>
      <c r="G16" s="9" t="str">
        <f t="shared" si="0"/>
        <v/>
      </c>
      <c r="H16" s="9" t="str">
        <f t="shared" si="1"/>
        <v/>
      </c>
      <c r="I16" t="str">
        <f t="shared" si="2"/>
        <v>Chưa đủ 3 vòng</v>
      </c>
    </row>
    <row r="17" spans="1:9">
      <c r="A17">
        <f>IF('Checkpoint 1'!B17="","",'Checkpoint 1'!A17)</f>
        <v>2</v>
      </c>
      <c r="B17" t="str">
        <f>IF('Checkpoint 1'!B17="","",'Checkpoint 1'!B17)</f>
        <v>CE191594</v>
      </c>
      <c r="C17" t="str">
        <f>IF('Checkpoint 1'!B17="","",'Checkpoint 1'!C17)</f>
        <v>Tiêu Gia Huy</v>
      </c>
      <c r="D17" t="str">
        <f>IF(B17="","",IF('Checkpoint 1'!I17="","",'Checkpoint 1'!I17))</f>
        <v/>
      </c>
      <c r="E17" t="str">
        <f>IF(B17="","",IF('Checkpoint 2'!I17="","",'Checkpoint 2'!I17))</f>
        <v/>
      </c>
      <c r="F17" t="str">
        <f>IF(B17="","",IF('Final Defense'!L17="","",'Final Defense'!L17))</f>
        <v/>
      </c>
      <c r="G17" s="9" t="str">
        <f t="shared" si="0"/>
        <v/>
      </c>
      <c r="H17" s="9" t="str">
        <f t="shared" si="1"/>
        <v/>
      </c>
      <c r="I17" t="str">
        <f t="shared" si="2"/>
        <v>Chưa đủ 3 vòng</v>
      </c>
    </row>
    <row r="18" spans="1:9">
      <c r="A18">
        <f>IF('Checkpoint 1'!B18="","",'Checkpoint 1'!A18)</f>
        <v>2</v>
      </c>
      <c r="B18" t="str">
        <f>IF('Checkpoint 1'!B18="","",'Checkpoint 1'!B18)</f>
        <v>CS191497</v>
      </c>
      <c r="C18" t="str">
        <f>IF('Checkpoint 1'!B18="","",'Checkpoint 1'!C18)</f>
        <v>Lâm Thành Phát</v>
      </c>
      <c r="D18" t="str">
        <f>IF(B18="","",IF('Checkpoint 1'!I18="","",'Checkpoint 1'!I18))</f>
        <v/>
      </c>
      <c r="E18" t="str">
        <f>IF(B18="","",IF('Checkpoint 2'!I18="","",'Checkpoint 2'!I18))</f>
        <v/>
      </c>
      <c r="F18" t="str">
        <f>IF(B18="","",IF('Final Defense'!L18="","",'Final Defense'!L18))</f>
        <v/>
      </c>
      <c r="G18" s="9" t="str">
        <f t="shared" si="0"/>
        <v/>
      </c>
      <c r="H18" s="9" t="str">
        <f t="shared" si="1"/>
        <v/>
      </c>
      <c r="I18" t="str">
        <f t="shared" si="2"/>
        <v>Chưa đủ 3 vòng</v>
      </c>
    </row>
    <row r="19" spans="1:9">
      <c r="A19">
        <f>IF('Checkpoint 1'!B19="","",'Checkpoint 1'!A19)</f>
        <v>3</v>
      </c>
      <c r="B19" t="str">
        <f>IF('Checkpoint 1'!B19="","",'Checkpoint 1'!B19)</f>
        <v>CE150499</v>
      </c>
      <c r="C19" t="str">
        <f>IF('Checkpoint 1'!B19="","",'Checkpoint 1'!C19)</f>
        <v>Trần Thị Hồng Mai</v>
      </c>
      <c r="D19" t="str">
        <f>IF(B19="","",IF('Checkpoint 1'!I19="","",'Checkpoint 1'!I19))</f>
        <v/>
      </c>
      <c r="E19" t="str">
        <f>IF(B19="","",IF('Checkpoint 2'!I19="","",'Checkpoint 2'!I19))</f>
        <v/>
      </c>
      <c r="F19" t="str">
        <f>IF(B19="","",IF('Final Defense'!L19="","",'Final Defense'!L19))</f>
        <v/>
      </c>
      <c r="G19" s="9" t="str">
        <f t="shared" si="0"/>
        <v/>
      </c>
      <c r="H19" s="9" t="str">
        <f t="shared" si="1"/>
        <v/>
      </c>
      <c r="I19" t="str">
        <f t="shared" si="2"/>
        <v>Chưa đủ 3 vòng</v>
      </c>
    </row>
    <row r="20" spans="1:9">
      <c r="A20">
        <f>IF('Checkpoint 1'!B20="","",'Checkpoint 1'!A20)</f>
        <v>3</v>
      </c>
      <c r="B20" t="str">
        <f>IF('Checkpoint 1'!B20="","",'Checkpoint 1'!B20)</f>
        <v>CE181640</v>
      </c>
      <c r="C20" t="str">
        <f>IF('Checkpoint 1'!B20="","",'Checkpoint 1'!C20)</f>
        <v>Lê Huỳnh Nhựt Khanh</v>
      </c>
      <c r="D20" t="str">
        <f>IF(B20="","",IF('Checkpoint 1'!I20="","",'Checkpoint 1'!I20))</f>
        <v/>
      </c>
      <c r="E20" t="str">
        <f>IF(B20="","",IF('Checkpoint 2'!I20="","",'Checkpoint 2'!I20))</f>
        <v/>
      </c>
      <c r="F20" t="str">
        <f>IF(B20="","",IF('Final Defense'!L20="","",'Final Defense'!L20))</f>
        <v/>
      </c>
      <c r="G20" s="9" t="str">
        <f t="shared" si="0"/>
        <v/>
      </c>
      <c r="H20" s="9" t="str">
        <f t="shared" si="1"/>
        <v/>
      </c>
      <c r="I20" t="str">
        <f t="shared" si="2"/>
        <v>Chưa đủ 3 vòng</v>
      </c>
    </row>
    <row r="21" spans="1:9">
      <c r="A21">
        <f>IF('Checkpoint 1'!B21="","",'Checkpoint 1'!A21)</f>
        <v>3</v>
      </c>
      <c r="B21" t="str">
        <f>IF('Checkpoint 1'!B21="","",'Checkpoint 1'!B21)</f>
        <v>CE181720</v>
      </c>
      <c r="C21" t="str">
        <f>IF('Checkpoint 1'!B21="","",'Checkpoint 1'!C21)</f>
        <v>Huỳnh Trần Phước Sang</v>
      </c>
      <c r="D21" t="str">
        <f>IF(B21="","",IF('Checkpoint 1'!I21="","",'Checkpoint 1'!I21))</f>
        <v/>
      </c>
      <c r="E21" t="str">
        <f>IF(B21="","",IF('Checkpoint 2'!I21="","",'Checkpoint 2'!I21))</f>
        <v/>
      </c>
      <c r="F21" t="str">
        <f>IF(B21="","",IF('Final Defense'!L21="","",'Final Defense'!L21))</f>
        <v/>
      </c>
      <c r="G21" s="9" t="str">
        <f t="shared" si="0"/>
        <v/>
      </c>
      <c r="H21" s="9" t="str">
        <f t="shared" si="1"/>
        <v/>
      </c>
      <c r="I21" t="str">
        <f t="shared" si="2"/>
        <v>Chưa đủ 3 vòng</v>
      </c>
    </row>
    <row r="22" spans="1:9">
      <c r="A22">
        <f>IF('Checkpoint 1'!B22="","",'Checkpoint 1'!A22)</f>
        <v>3</v>
      </c>
      <c r="B22" t="str">
        <f>IF('Checkpoint 1'!B22="","",'Checkpoint 1'!B22)</f>
        <v>CE190744</v>
      </c>
      <c r="C22" t="str">
        <f>IF('Checkpoint 1'!B22="","",'Checkpoint 1'!C22)</f>
        <v>Trương Đoàn Minh Phúc</v>
      </c>
      <c r="D22" t="str">
        <f>IF(B22="","",IF('Checkpoint 1'!I22="","",'Checkpoint 1'!I22))</f>
        <v/>
      </c>
      <c r="E22" t="str">
        <f>IF(B22="","",IF('Checkpoint 2'!I22="","",'Checkpoint 2'!I22))</f>
        <v/>
      </c>
      <c r="F22" t="str">
        <f>IF(B22="","",IF('Final Defense'!L22="","",'Final Defense'!L22))</f>
        <v/>
      </c>
      <c r="G22" s="9" t="str">
        <f t="shared" si="0"/>
        <v/>
      </c>
      <c r="H22" s="9" t="str">
        <f t="shared" si="1"/>
        <v/>
      </c>
      <c r="I22" t="str">
        <f t="shared" si="2"/>
        <v>Chưa đủ 3 vòng</v>
      </c>
    </row>
    <row r="23" spans="1:9">
      <c r="A23">
        <f>IF('Checkpoint 1'!B23="","",'Checkpoint 1'!A23)</f>
        <v>3</v>
      </c>
      <c r="B23" t="str">
        <f>IF('Checkpoint 1'!B23="","",'Checkpoint 1'!B23)</f>
        <v>CE190743</v>
      </c>
      <c r="C23" t="str">
        <f>IF('Checkpoint 1'!B23="","",'Checkpoint 1'!C23)</f>
        <v>Nguyễn Hoàng Minh</v>
      </c>
      <c r="D23" t="str">
        <f>IF(B23="","",IF('Checkpoint 1'!I23="","",'Checkpoint 1'!I23))</f>
        <v/>
      </c>
      <c r="E23" t="str">
        <f>IF(B23="","",IF('Checkpoint 2'!I23="","",'Checkpoint 2'!I23))</f>
        <v/>
      </c>
      <c r="F23" t="str">
        <f>IF(B23="","",IF('Final Defense'!L23="","",'Final Defense'!L23))</f>
        <v/>
      </c>
      <c r="G23" s="9" t="str">
        <f t="shared" si="0"/>
        <v/>
      </c>
      <c r="H23" s="9" t="str">
        <f t="shared" si="1"/>
        <v/>
      </c>
      <c r="I23" t="str">
        <f t="shared" si="2"/>
        <v>Chưa đủ 3 vòng</v>
      </c>
    </row>
    <row r="24" spans="1:9">
      <c r="A24">
        <f>IF('Checkpoint 1'!B24="","",'Checkpoint 1'!A24)</f>
        <v>4</v>
      </c>
      <c r="B24" t="str">
        <f>IF('Checkpoint 1'!B24="","",'Checkpoint 1'!B24)</f>
        <v>CE181654</v>
      </c>
      <c r="C24" t="str">
        <f>IF('Checkpoint 1'!B24="","",'Checkpoint 1'!C24)</f>
        <v>Huỳnh Nguyễn Chí Nghĩa</v>
      </c>
      <c r="D24" t="str">
        <f>IF(B24="","",IF('Checkpoint 1'!I24="","",'Checkpoint 1'!I24))</f>
        <v/>
      </c>
      <c r="E24" t="str">
        <f>IF(B24="","",IF('Checkpoint 2'!I24="","",'Checkpoint 2'!I24))</f>
        <v/>
      </c>
      <c r="F24" t="str">
        <f>IF(B24="","",IF('Final Defense'!L24="","",'Final Defense'!L24))</f>
        <v/>
      </c>
      <c r="G24" s="9" t="str">
        <f t="shared" si="0"/>
        <v/>
      </c>
      <c r="H24" s="9" t="str">
        <f t="shared" si="1"/>
        <v/>
      </c>
      <c r="I24" t="str">
        <f t="shared" si="2"/>
        <v>Chưa đủ 3 vòng</v>
      </c>
    </row>
    <row r="25" spans="1:9">
      <c r="A25">
        <f>IF('Checkpoint 1'!B25="","",'Checkpoint 1'!A25)</f>
        <v>4</v>
      </c>
      <c r="B25" t="str">
        <f>IF('Checkpoint 1'!B25="","",'Checkpoint 1'!B25)</f>
        <v>CE190387</v>
      </c>
      <c r="C25" t="str">
        <f>IF('Checkpoint 1'!B25="","",'Checkpoint 1'!C25)</f>
        <v>Nguyễn Hữu Tài</v>
      </c>
      <c r="D25" t="str">
        <f>IF(B25="","",IF('Checkpoint 1'!I25="","",'Checkpoint 1'!I25))</f>
        <v/>
      </c>
      <c r="E25" t="str">
        <f>IF(B25="","",IF('Checkpoint 2'!I25="","",'Checkpoint 2'!I25))</f>
        <v/>
      </c>
      <c r="F25" t="str">
        <f>IF(B25="","",IF('Final Defense'!L25="","",'Final Defense'!L25))</f>
        <v/>
      </c>
      <c r="G25" s="9" t="str">
        <f t="shared" si="0"/>
        <v/>
      </c>
      <c r="H25" s="9" t="str">
        <f t="shared" si="1"/>
        <v/>
      </c>
      <c r="I25" t="str">
        <f t="shared" si="2"/>
        <v>Chưa đủ 3 vòng</v>
      </c>
    </row>
    <row r="26" spans="1:9">
      <c r="A26">
        <f>IF('Checkpoint 1'!B26="","",'Checkpoint 1'!A26)</f>
        <v>4</v>
      </c>
      <c r="B26" t="str">
        <f>IF('Checkpoint 1'!B26="","",'Checkpoint 1'!B26)</f>
        <v>CE190694</v>
      </c>
      <c r="C26" t="str">
        <f>IF('Checkpoint 1'!B26="","",'Checkpoint 1'!C26)</f>
        <v>Trần Gia Đạt</v>
      </c>
      <c r="D26" t="str">
        <f>IF(B26="","",IF('Checkpoint 1'!I26="","",'Checkpoint 1'!I26))</f>
        <v/>
      </c>
      <c r="E26" t="str">
        <f>IF(B26="","",IF('Checkpoint 2'!I26="","",'Checkpoint 2'!I26))</f>
        <v/>
      </c>
      <c r="F26" t="str">
        <f>IF(B26="","",IF('Final Defense'!L26="","",'Final Defense'!L26))</f>
        <v/>
      </c>
      <c r="G26" s="9" t="str">
        <f t="shared" si="0"/>
        <v/>
      </c>
      <c r="H26" s="9" t="str">
        <f t="shared" si="1"/>
        <v/>
      </c>
      <c r="I26" t="str">
        <f t="shared" si="2"/>
        <v>Chưa đủ 3 vòng</v>
      </c>
    </row>
    <row r="27" spans="1:9">
      <c r="A27">
        <f>IF('Checkpoint 1'!B27="","",'Checkpoint 1'!A27)</f>
        <v>4</v>
      </c>
      <c r="B27" t="str">
        <f>IF('Checkpoint 1'!B27="","",'Checkpoint 1'!B27)</f>
        <v>CE191122</v>
      </c>
      <c r="C27" t="str">
        <f>IF('Checkpoint 1'!B27="","",'Checkpoint 1'!C27)</f>
        <v>Trần Hiếu Nghĩa</v>
      </c>
      <c r="D27" t="str">
        <f>IF(B27="","",IF('Checkpoint 1'!I27="","",'Checkpoint 1'!I27))</f>
        <v/>
      </c>
      <c r="E27" t="str">
        <f>IF(B27="","",IF('Checkpoint 2'!I27="","",'Checkpoint 2'!I27))</f>
        <v/>
      </c>
      <c r="F27" t="str">
        <f>IF(B27="","",IF('Final Defense'!L27="","",'Final Defense'!L27))</f>
        <v/>
      </c>
      <c r="G27" s="9" t="str">
        <f t="shared" si="0"/>
        <v/>
      </c>
      <c r="H27" s="9" t="str">
        <f t="shared" si="1"/>
        <v/>
      </c>
      <c r="I27" t="str">
        <f t="shared" si="2"/>
        <v>Chưa đủ 3 vòng</v>
      </c>
    </row>
    <row r="28" spans="1:9">
      <c r="A28">
        <f>IF('Checkpoint 1'!B28="","",'Checkpoint 1'!A28)</f>
        <v>4</v>
      </c>
      <c r="B28" t="str">
        <f>IF('Checkpoint 1'!B28="","",'Checkpoint 1'!B28)</f>
        <v>CE191184</v>
      </c>
      <c r="C28" t="str">
        <f>IF('Checkpoint 1'!B28="","",'Checkpoint 1'!C28)</f>
        <v>Ngô Quốc Hưng</v>
      </c>
      <c r="D28" t="str">
        <f>IF(B28="","",IF('Checkpoint 1'!I28="","",'Checkpoint 1'!I28))</f>
        <v/>
      </c>
      <c r="E28" t="str">
        <f>IF(B28="","",IF('Checkpoint 2'!I28="","",'Checkpoint 2'!I28))</f>
        <v/>
      </c>
      <c r="F28" t="str">
        <f>IF(B28="","",IF('Final Defense'!L28="","",'Final Defense'!L28))</f>
        <v/>
      </c>
      <c r="G28" s="9" t="str">
        <f t="shared" si="0"/>
        <v/>
      </c>
      <c r="H28" s="9" t="str">
        <f t="shared" si="1"/>
        <v/>
      </c>
      <c r="I28" t="str">
        <f t="shared" si="2"/>
        <v>Chưa đủ 3 vòng</v>
      </c>
    </row>
    <row r="29" spans="1:9">
      <c r="A29">
        <f>IF('Checkpoint 1'!B29="","",'Checkpoint 1'!A29)</f>
        <v>5</v>
      </c>
      <c r="B29" t="str">
        <f>IF('Checkpoint 1'!B29="","",'Checkpoint 1'!B29)</f>
        <v>CE190886</v>
      </c>
      <c r="C29" t="str">
        <f>IF('Checkpoint 1'!B29="","",'Checkpoint 1'!C29)</f>
        <v>Nguyễn Hoàng Long</v>
      </c>
      <c r="D29" t="str">
        <f>IF(B29="","",IF('Checkpoint 1'!I29="","",'Checkpoint 1'!I29))</f>
        <v/>
      </c>
      <c r="E29" t="str">
        <f>IF(B29="","",IF('Checkpoint 2'!I29="","",'Checkpoint 2'!I29))</f>
        <v/>
      </c>
      <c r="F29" t="str">
        <f>IF(B29="","",IF('Final Defense'!L29="","",'Final Defense'!L29))</f>
        <v/>
      </c>
      <c r="G29" s="9" t="str">
        <f t="shared" si="0"/>
        <v/>
      </c>
      <c r="H29" s="9" t="str">
        <f t="shared" si="1"/>
        <v/>
      </c>
      <c r="I29" t="str">
        <f t="shared" si="2"/>
        <v>Chưa đủ 3 vòng</v>
      </c>
    </row>
    <row r="30" spans="1:9">
      <c r="A30">
        <f>IF('Checkpoint 1'!B30="","",'Checkpoint 1'!A30)</f>
        <v>5</v>
      </c>
      <c r="B30" t="str">
        <f>IF('Checkpoint 1'!B30="","",'Checkpoint 1'!B30)</f>
        <v>CE190890</v>
      </c>
      <c r="C30" t="str">
        <f>IF('Checkpoint 1'!B30="","",'Checkpoint 1'!C30)</f>
        <v>Trần Huỳnh Khôi</v>
      </c>
      <c r="D30" t="str">
        <f>IF(B30="","",IF('Checkpoint 1'!I30="","",'Checkpoint 1'!I30))</f>
        <v/>
      </c>
      <c r="E30" t="str">
        <f>IF(B30="","",IF('Checkpoint 2'!I30="","",'Checkpoint 2'!I30))</f>
        <v/>
      </c>
      <c r="F30" t="str">
        <f>IF(B30="","",IF('Final Defense'!L30="","",'Final Defense'!L30))</f>
        <v/>
      </c>
      <c r="G30" s="9" t="str">
        <f t="shared" si="0"/>
        <v/>
      </c>
      <c r="H30" s="9" t="str">
        <f t="shared" si="1"/>
        <v/>
      </c>
      <c r="I30" t="str">
        <f t="shared" si="2"/>
        <v>Chưa đủ 3 vòng</v>
      </c>
    </row>
    <row r="31" spans="1:9">
      <c r="A31">
        <f>IF('Checkpoint 1'!B31="","",'Checkpoint 1'!A31)</f>
        <v>5</v>
      </c>
      <c r="B31" t="str">
        <f>IF('Checkpoint 1'!B31="","",'Checkpoint 1'!B31)</f>
        <v>CE190895</v>
      </c>
      <c r="C31" t="str">
        <f>IF('Checkpoint 1'!B31="","",'Checkpoint 1'!C31)</f>
        <v>Trần Công Minh</v>
      </c>
      <c r="D31" t="str">
        <f>IF(B31="","",IF('Checkpoint 1'!I31="","",'Checkpoint 1'!I31))</f>
        <v/>
      </c>
      <c r="E31" t="str">
        <f>IF(B31="","",IF('Checkpoint 2'!I31="","",'Checkpoint 2'!I31))</f>
        <v/>
      </c>
      <c r="F31" t="str">
        <f>IF(B31="","",IF('Final Defense'!L31="","",'Final Defense'!L31))</f>
        <v/>
      </c>
      <c r="G31" s="9" t="str">
        <f t="shared" si="0"/>
        <v/>
      </c>
      <c r="H31" s="9" t="str">
        <f t="shared" si="1"/>
        <v/>
      </c>
      <c r="I31" t="str">
        <f t="shared" si="2"/>
        <v>Chưa đủ 3 vòng</v>
      </c>
    </row>
    <row r="32" spans="1:9">
      <c r="A32">
        <f>IF('Checkpoint 1'!B32="","",'Checkpoint 1'!A32)</f>
        <v>5</v>
      </c>
      <c r="B32" t="str">
        <f>IF('Checkpoint 1'!B32="","",'Checkpoint 1'!B32)</f>
        <v>CE190986</v>
      </c>
      <c r="C32" t="str">
        <f>IF('Checkpoint 1'!B32="","",'Checkpoint 1'!C32)</f>
        <v>Nguyễn Cao Quí</v>
      </c>
      <c r="D32" t="str">
        <f>IF(B32="","",IF('Checkpoint 1'!I32="","",'Checkpoint 1'!I32))</f>
        <v/>
      </c>
      <c r="E32" t="str">
        <f>IF(B32="","",IF('Checkpoint 2'!I32="","",'Checkpoint 2'!I32))</f>
        <v/>
      </c>
      <c r="F32" t="str">
        <f>IF(B32="","",IF('Final Defense'!L32="","",'Final Defense'!L32))</f>
        <v/>
      </c>
      <c r="G32" s="9" t="str">
        <f t="shared" si="0"/>
        <v/>
      </c>
      <c r="H32" s="9" t="str">
        <f t="shared" si="1"/>
        <v/>
      </c>
      <c r="I32" t="str">
        <f t="shared" si="2"/>
        <v>Chưa đủ 3 vòng</v>
      </c>
    </row>
    <row r="33" spans="1:9">
      <c r="A33">
        <f>IF('Checkpoint 1'!B33="","",'Checkpoint 1'!A33)</f>
        <v>6</v>
      </c>
      <c r="B33" t="str">
        <f>IF('Checkpoint 1'!B33="","",'Checkpoint 1'!B33)</f>
        <v>CE170754</v>
      </c>
      <c r="C33" t="str">
        <f>IF('Checkpoint 1'!B33="","",'Checkpoint 1'!C33)</f>
        <v>Bùi Minh Khang</v>
      </c>
      <c r="D33" t="str">
        <f>IF(B33="","",IF('Checkpoint 1'!I33="","",'Checkpoint 1'!I33))</f>
        <v/>
      </c>
      <c r="E33" t="str">
        <f>IF(B33="","",IF('Checkpoint 2'!I33="","",'Checkpoint 2'!I33))</f>
        <v/>
      </c>
      <c r="F33" t="str">
        <f>IF(B33="","",IF('Final Defense'!L33="","",'Final Defense'!L33))</f>
        <v/>
      </c>
      <c r="G33" s="9" t="str">
        <f t="shared" si="0"/>
        <v/>
      </c>
      <c r="H33" s="9" t="str">
        <f t="shared" si="1"/>
        <v/>
      </c>
      <c r="I33" t="str">
        <f t="shared" si="2"/>
        <v>Chưa đủ 3 vòng</v>
      </c>
    </row>
    <row r="34" spans="1:9">
      <c r="A34">
        <f>IF('Checkpoint 1'!B34="","",'Checkpoint 1'!A34)</f>
        <v>6</v>
      </c>
      <c r="B34" t="str">
        <f>IF('Checkpoint 1'!B34="","",'Checkpoint 1'!B34)</f>
        <v>CE172083</v>
      </c>
      <c r="C34" t="str">
        <f>IF('Checkpoint 1'!B34="","",'Checkpoint 1'!C34)</f>
        <v>Ngô Việt Trinh</v>
      </c>
      <c r="D34" t="str">
        <f>IF(B34="","",IF('Checkpoint 1'!I34="","",'Checkpoint 1'!I34))</f>
        <v/>
      </c>
      <c r="E34" t="str">
        <f>IF(B34="","",IF('Checkpoint 2'!I34="","",'Checkpoint 2'!I34))</f>
        <v/>
      </c>
      <c r="F34" t="str">
        <f>IF(B34="","",IF('Final Defense'!L34="","",'Final Defense'!L34))</f>
        <v/>
      </c>
      <c r="G34" s="9" t="str">
        <f t="shared" si="0"/>
        <v/>
      </c>
      <c r="H34" s="9" t="str">
        <f t="shared" si="1"/>
        <v/>
      </c>
      <c r="I34" t="str">
        <f t="shared" si="2"/>
        <v>Chưa đủ 3 vòng</v>
      </c>
    </row>
    <row r="35" spans="1:9">
      <c r="A35">
        <f>IF('Checkpoint 1'!B35="","",'Checkpoint 1'!A35)</f>
        <v>6</v>
      </c>
      <c r="B35" t="str">
        <f>IF('Checkpoint 1'!B35="","",'Checkpoint 1'!B35)</f>
        <v>CE181002</v>
      </c>
      <c r="C35" t="str">
        <f>IF('Checkpoint 1'!B35="","",'Checkpoint 1'!C35)</f>
        <v>Võ Chánh Huy</v>
      </c>
      <c r="D35" t="str">
        <f>IF(B35="","",IF('Checkpoint 1'!I35="","",'Checkpoint 1'!I35))</f>
        <v/>
      </c>
      <c r="E35" t="str">
        <f>IF(B35="","",IF('Checkpoint 2'!I35="","",'Checkpoint 2'!I35))</f>
        <v/>
      </c>
      <c r="F35" t="str">
        <f>IF(B35="","",IF('Final Defense'!L35="","",'Final Defense'!L35))</f>
        <v/>
      </c>
      <c r="G35" s="9" t="str">
        <f t="shared" si="0"/>
        <v/>
      </c>
      <c r="H35" s="9" t="str">
        <f t="shared" si="1"/>
        <v/>
      </c>
      <c r="I35" t="str">
        <f t="shared" si="2"/>
        <v>Chưa đủ 3 vòng</v>
      </c>
    </row>
    <row r="36" spans="1:9">
      <c r="A36">
        <f>IF('Checkpoint 1'!B36="","",'Checkpoint 1'!A36)</f>
        <v>6</v>
      </c>
      <c r="B36" t="str">
        <f>IF('Checkpoint 1'!B36="","",'Checkpoint 1'!B36)</f>
        <v>CE181211</v>
      </c>
      <c r="C36" t="str">
        <f>IF('Checkpoint 1'!B36="","",'Checkpoint 1'!C36)</f>
        <v>Lê Huỳnh Thiện Hưng</v>
      </c>
      <c r="D36" t="str">
        <f>IF(B36="","",IF('Checkpoint 1'!I36="","",'Checkpoint 1'!I36))</f>
        <v/>
      </c>
      <c r="E36" t="str">
        <f>IF(B36="","",IF('Checkpoint 2'!I36="","",'Checkpoint 2'!I36))</f>
        <v/>
      </c>
      <c r="F36" t="str">
        <f>IF(B36="","",IF('Final Defense'!L36="","",'Final Defense'!L36))</f>
        <v/>
      </c>
      <c r="G36" s="9" t="str">
        <f t="shared" si="0"/>
        <v/>
      </c>
      <c r="H36" s="9" t="str">
        <f t="shared" si="1"/>
        <v/>
      </c>
      <c r="I36" t="str">
        <f t="shared" si="2"/>
        <v>Chưa đủ 3 vòng</v>
      </c>
    </row>
    <row r="37" spans="1:9">
      <c r="A37">
        <f>IF('Checkpoint 1'!B37="","",'Checkpoint 1'!A37)</f>
        <v>6</v>
      </c>
      <c r="B37" t="str">
        <f>IF('Checkpoint 1'!B37="","",'Checkpoint 1'!B37)</f>
        <v>CE191406</v>
      </c>
      <c r="C37" t="str">
        <f>IF('Checkpoint 1'!B37="","",'Checkpoint 1'!C37)</f>
        <v>Lê Thuận Phát</v>
      </c>
      <c r="D37" t="str">
        <f>IF(B37="","",IF('Checkpoint 1'!I37="","",'Checkpoint 1'!I37))</f>
        <v/>
      </c>
      <c r="E37" t="str">
        <f>IF(B37="","",IF('Checkpoint 2'!I37="","",'Checkpoint 2'!I37))</f>
        <v/>
      </c>
      <c r="F37" t="str">
        <f>IF(B37="","",IF('Final Defense'!L37="","",'Final Defense'!L37))</f>
        <v/>
      </c>
      <c r="G37" s="9" t="str">
        <f t="shared" si="0"/>
        <v/>
      </c>
      <c r="H37" s="9" t="str">
        <f t="shared" si="1"/>
        <v/>
      </c>
      <c r="I37" t="str">
        <f t="shared" si="2"/>
        <v>Chưa đủ 3 vòng</v>
      </c>
    </row>
    <row r="38" spans="1:9">
      <c r="A38" t="str">
        <f>IF('Checkpoint 1'!B38="","",'Checkpoint 1'!A38)</f>
        <v/>
      </c>
      <c r="B38" t="str">
        <f>IF('Checkpoint 1'!B38="","",'Checkpoint 1'!B38)</f>
        <v/>
      </c>
      <c r="C38" t="str">
        <f>IF('Checkpoint 1'!B38="","",'Checkpoint 1'!C38)</f>
        <v/>
      </c>
      <c r="D38" t="str">
        <f>IF(B38="","",IF('Checkpoint 1'!I38="","",'Checkpoint 1'!I38))</f>
        <v/>
      </c>
      <c r="E38" t="str">
        <f>IF(B38="","",IF('Checkpoint 2'!I38="","",'Checkpoint 2'!I38))</f>
        <v/>
      </c>
      <c r="F38" t="str">
        <f>IF(B38="","",IF('Final Defense'!L38="","",'Final Defense'!L38))</f>
        <v/>
      </c>
      <c r="G38" s="9" t="str">
        <f t="shared" si="0"/>
        <v/>
      </c>
      <c r="H38" s="9" t="str">
        <f t="shared" si="1"/>
        <v/>
      </c>
      <c r="I38" t="str">
        <f t="shared" si="2"/>
        <v/>
      </c>
    </row>
  </sheetData>
  <mergeCells count="3">
    <mergeCell ref="A1:J2"/>
    <mergeCell ref="A3:J3"/>
    <mergeCell ref="E5:J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tabSelected="1" topLeftCell="A10" workbookViewId="0">
      <selection activeCell="D15" sqref="D15"/>
    </sheetView>
  </sheetViews>
  <sheetFormatPr defaultRowHeight="13.8"/>
  <cols>
    <col min="1" max="1" width="20" customWidth="1"/>
    <col min="2" max="2" width="48" customWidth="1"/>
    <col min="3" max="3" width="17" customWidth="1"/>
    <col min="4" max="4" width="100" customWidth="1"/>
  </cols>
  <sheetData>
    <row r="1" spans="1:4" ht="21.6" customHeight="1">
      <c r="A1" s="19" t="s">
        <v>38</v>
      </c>
      <c r="B1" s="19"/>
      <c r="C1" s="19"/>
      <c r="D1" s="19"/>
    </row>
    <row r="2" spans="1:4" ht="21.6" customHeight="1">
      <c r="A2" s="19"/>
      <c r="B2" s="19"/>
      <c r="C2" s="19"/>
      <c r="D2" s="19"/>
    </row>
    <row r="3" spans="1:4" ht="21.6" customHeight="1">
      <c r="A3" s="20" t="s">
        <v>138</v>
      </c>
      <c r="B3" s="20"/>
      <c r="C3" s="20"/>
      <c r="D3" s="20"/>
    </row>
    <row r="5" spans="1:4" ht="28.05" customHeight="1">
      <c r="A5" s="1" t="s">
        <v>39</v>
      </c>
      <c r="B5" s="1" t="s">
        <v>40</v>
      </c>
      <c r="C5" s="1" t="s">
        <v>41</v>
      </c>
      <c r="D5" s="1" t="s">
        <v>42</v>
      </c>
    </row>
    <row r="6" spans="1:4" ht="37.65" customHeight="1">
      <c r="A6" s="10" t="s">
        <v>43</v>
      </c>
      <c r="B6" s="10" t="s">
        <v>44</v>
      </c>
      <c r="C6" s="10">
        <v>2.5</v>
      </c>
      <c r="D6" s="10" t="s">
        <v>45</v>
      </c>
    </row>
    <row r="7" spans="1:4" ht="37.65" customHeight="1">
      <c r="A7" s="10" t="s">
        <v>43</v>
      </c>
      <c r="B7" s="10" t="s">
        <v>46</v>
      </c>
      <c r="C7" s="10">
        <v>3</v>
      </c>
      <c r="D7" s="10" t="s">
        <v>47</v>
      </c>
    </row>
    <row r="8" spans="1:4" ht="37.65" customHeight="1">
      <c r="A8" s="10" t="s">
        <v>43</v>
      </c>
      <c r="B8" s="10" t="s">
        <v>48</v>
      </c>
      <c r="C8" s="10">
        <v>4.5</v>
      </c>
      <c r="D8" s="10" t="s">
        <v>49</v>
      </c>
    </row>
    <row r="9" spans="1:4" ht="37.65" customHeight="1">
      <c r="A9" s="10" t="s">
        <v>50</v>
      </c>
      <c r="B9" s="10" t="s">
        <v>51</v>
      </c>
      <c r="C9" s="10">
        <v>1</v>
      </c>
      <c r="D9" s="10" t="s">
        <v>52</v>
      </c>
    </row>
    <row r="10" spans="1:4" ht="37.65" customHeight="1">
      <c r="A10" s="10" t="s">
        <v>50</v>
      </c>
      <c r="B10" s="10" t="s">
        <v>53</v>
      </c>
      <c r="C10" s="10">
        <v>1</v>
      </c>
      <c r="D10" s="10" t="s">
        <v>54</v>
      </c>
    </row>
    <row r="11" spans="1:4" ht="37.65" customHeight="1">
      <c r="A11" s="10" t="s">
        <v>50</v>
      </c>
      <c r="B11" s="10" t="s">
        <v>55</v>
      </c>
      <c r="C11" s="10">
        <v>1</v>
      </c>
      <c r="D11" s="10" t="s">
        <v>56</v>
      </c>
    </row>
    <row r="12" spans="1:4" ht="37.65" customHeight="1">
      <c r="A12" s="10" t="s">
        <v>50</v>
      </c>
      <c r="B12" s="10" t="s">
        <v>57</v>
      </c>
      <c r="C12" s="10">
        <v>3</v>
      </c>
      <c r="D12" s="10" t="s">
        <v>58</v>
      </c>
    </row>
    <row r="13" spans="1:4" ht="37.65" customHeight="1">
      <c r="A13" s="10" t="s">
        <v>50</v>
      </c>
      <c r="B13" s="10" t="s">
        <v>59</v>
      </c>
      <c r="C13" s="10">
        <v>4</v>
      </c>
      <c r="D13" s="10" t="s">
        <v>60</v>
      </c>
    </row>
    <row r="14" spans="1:4" ht="37.65" customHeight="1">
      <c r="A14" s="10" t="s">
        <v>50</v>
      </c>
      <c r="B14" s="10" t="s">
        <v>61</v>
      </c>
      <c r="C14" s="10"/>
      <c r="D14" s="10" t="s">
        <v>62</v>
      </c>
    </row>
    <row r="15" spans="1:4" ht="37.65" customHeight="1">
      <c r="A15" s="10" t="s">
        <v>50</v>
      </c>
      <c r="B15" s="10" t="s">
        <v>63</v>
      </c>
      <c r="C15" s="10">
        <v>0.5</v>
      </c>
      <c r="D15" s="10" t="s">
        <v>64</v>
      </c>
    </row>
    <row r="16" spans="1:4" ht="37.65" customHeight="1">
      <c r="A16" s="10" t="s">
        <v>65</v>
      </c>
      <c r="B16" s="10" t="s">
        <v>66</v>
      </c>
      <c r="C16" s="10"/>
      <c r="D16" s="10" t="s">
        <v>67</v>
      </c>
    </row>
    <row r="17" spans="1:4" ht="37.65" customHeight="1">
      <c r="A17" s="10" t="s">
        <v>65</v>
      </c>
      <c r="B17" s="10" t="s">
        <v>68</v>
      </c>
      <c r="C17" s="10"/>
      <c r="D17" s="10" t="s">
        <v>69</v>
      </c>
    </row>
    <row r="18" spans="1:4" ht="37.65" customHeight="1">
      <c r="A18" s="10" t="s">
        <v>65</v>
      </c>
      <c r="B18" s="10" t="s">
        <v>70</v>
      </c>
      <c r="C18" s="10"/>
      <c r="D18" s="10" t="s">
        <v>71</v>
      </c>
    </row>
    <row r="19" spans="1:4" ht="37.65" customHeight="1">
      <c r="A19" s="10" t="s">
        <v>65</v>
      </c>
      <c r="B19" s="10" t="s">
        <v>72</v>
      </c>
      <c r="C19" s="10"/>
      <c r="D19" s="10" t="s">
        <v>73</v>
      </c>
    </row>
    <row r="20" spans="1:4" ht="37.65" customHeight="1">
      <c r="A20" s="10" t="s">
        <v>65</v>
      </c>
      <c r="B20" s="10" t="s">
        <v>74</v>
      </c>
      <c r="C20" s="10"/>
      <c r="D20" s="10" t="s">
        <v>75</v>
      </c>
    </row>
  </sheetData>
  <mergeCells count="2">
    <mergeCell ref="A1:D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Checkpoint 1</vt:lpstr>
      <vt:lpstr>Checkpoint 2</vt:lpstr>
      <vt:lpstr>Final Defense</vt:lpstr>
      <vt:lpstr>Tong hop 3 vong</vt:lpstr>
      <vt:lpstr>Rubric &amp; Huong 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Pham Tien Phuc</cp:lastModifiedBy>
  <dcterms:modified xsi:type="dcterms:W3CDTF">2026-10-29T02:09:05Z</dcterms:modified>
</cp:coreProperties>
</file>